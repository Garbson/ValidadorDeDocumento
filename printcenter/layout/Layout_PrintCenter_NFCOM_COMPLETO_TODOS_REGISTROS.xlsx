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yout Print Center NFCO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1"/>
    </font>
    <font>
      <b val="1"/>
      <sz val="11"/>
    </font>
  </fonts>
  <fills count="5">
    <fill>
      <patternFill/>
    </fill>
    <fill>
      <patternFill patternType="gray125"/>
    </fill>
    <fill>
      <patternFill patternType="solid">
        <fgColor rgb="000066CC"/>
        <bgColor rgb="000066CC"/>
      </patternFill>
    </fill>
    <fill>
      <patternFill patternType="solid">
        <fgColor rgb="004472C4"/>
        <bgColor rgb="004472C4"/>
      </patternFill>
    </fill>
    <fill>
      <patternFill patternType="solid">
        <fgColor rgb="00FFD966"/>
        <bgColor rgb="00FFD966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left"/>
    </xf>
    <xf numFmtId="0" fontId="0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center" vertical="top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76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8" customWidth="1" min="4" max="4"/>
    <col width="100" customWidth="1" min="5" max="5"/>
  </cols>
  <sheetData>
    <row r="1" ht="25" customHeight="1">
      <c r="A1" s="1" t="inlineStr">
        <is>
          <t>LAYOUT PRINT CENTER 6.5 - NFCOM - COMPLETO</t>
        </is>
      </c>
    </row>
    <row r="3">
      <c r="A3" s="2" t="inlineStr">
        <is>
          <t>Campo</t>
        </is>
      </c>
      <c r="B3" s="2" t="inlineStr">
        <is>
          <t>De</t>
        </is>
      </c>
      <c r="C3" s="2" t="inlineStr">
        <is>
          <t>Até</t>
        </is>
      </c>
      <c r="D3" s="2" t="inlineStr">
        <is>
          <t>Picture</t>
        </is>
      </c>
      <c r="E3" s="2" t="inlineStr">
        <is>
          <t>Conteúdo</t>
        </is>
      </c>
    </row>
    <row r="4" ht="25" customHeight="1">
      <c r="A4" s="3" t="inlineStr">
        <is>
          <t>REG 00 - Header</t>
        </is>
      </c>
      <c r="B4" s="6" t="n"/>
      <c r="C4" s="6" t="n"/>
      <c r="D4" s="6" t="n"/>
      <c r="E4" s="7" t="n"/>
    </row>
    <row r="5">
      <c r="A5" s="4" t="inlineStr">
        <is>
          <t>00.01</t>
        </is>
      </c>
      <c r="B5" s="5" t="inlineStr">
        <is>
          <t>1</t>
        </is>
      </c>
      <c r="C5" s="5" t="inlineStr">
        <is>
          <t>2</t>
        </is>
      </c>
      <c r="D5" s="4" t="inlineStr">
        <is>
          <t>9(02)</t>
        </is>
      </c>
      <c r="E5" s="4" t="inlineStr">
        <is>
          <t>Tipo de Registro = 00</t>
        </is>
      </c>
    </row>
    <row r="6">
      <c r="A6" s="4" t="inlineStr">
        <is>
          <t>00.02</t>
        </is>
      </c>
      <c r="B6" s="5" t="inlineStr">
        <is>
          <t>3</t>
        </is>
      </c>
      <c r="C6" s="5" t="inlineStr">
        <is>
          <t>10</t>
        </is>
      </c>
      <c r="D6" s="4" t="inlineStr">
        <is>
          <t>9(08)</t>
        </is>
      </c>
      <c r="E6" s="4" t="inlineStr">
        <is>
          <t>Número Sequencial de arquivo</t>
        </is>
      </c>
    </row>
    <row r="7">
      <c r="A7" s="4" t="inlineStr">
        <is>
          <t>00.03</t>
        </is>
      </c>
      <c r="B7" s="5" t="inlineStr">
        <is>
          <t>11</t>
        </is>
      </c>
      <c r="C7" s="5" t="inlineStr">
        <is>
          <t>30</t>
        </is>
      </c>
      <c r="D7" s="4" t="inlineStr">
        <is>
          <t>X(20)</t>
        </is>
      </c>
      <c r="E7" s="4" t="inlineStr">
        <is>
          <t>Nome da Empresa “Claro”</t>
        </is>
      </c>
    </row>
    <row r="8">
      <c r="A8" s="4" t="inlineStr">
        <is>
          <t>00.04</t>
        </is>
      </c>
      <c r="B8" s="5" t="inlineStr">
        <is>
          <t>31</t>
        </is>
      </c>
      <c r="C8" s="5" t="inlineStr">
        <is>
          <t>38</t>
        </is>
      </c>
      <c r="D8" s="4" t="inlineStr">
        <is>
          <t>9(08)</t>
        </is>
      </c>
      <c r="E8" s="4" t="inlineStr">
        <is>
          <t>Data da Geração do Arquivo (AAAAMMDD)</t>
        </is>
      </c>
    </row>
    <row r="9">
      <c r="A9" s="4" t="inlineStr">
        <is>
          <t>00.05</t>
        </is>
      </c>
      <c r="B9" s="5" t="inlineStr">
        <is>
          <t>39</t>
        </is>
      </c>
      <c r="C9" s="5" t="inlineStr">
        <is>
          <t>41</t>
        </is>
      </c>
      <c r="D9" s="4" t="inlineStr">
        <is>
          <t>X(03)</t>
        </is>
      </c>
      <c r="E9" s="4" t="inlineStr">
        <is>
          <t>Sigla da Empresa</t>
        </is>
      </c>
    </row>
    <row r="10">
      <c r="A10" s="4" t="inlineStr">
        <is>
          <t>00.06</t>
        </is>
      </c>
      <c r="B10" s="5" t="inlineStr">
        <is>
          <t>42</t>
        </is>
      </c>
      <c r="C10" s="5" t="inlineStr">
        <is>
          <t>101</t>
        </is>
      </c>
      <c r="D10" s="4" t="inlineStr">
        <is>
          <t>X(60)</t>
        </is>
      </c>
      <c r="E10" s="4" t="inlineStr">
        <is>
          <t>Endereço da Empresa</t>
        </is>
      </c>
    </row>
    <row r="11">
      <c r="A11" s="4" t="inlineStr">
        <is>
          <t>00.07</t>
        </is>
      </c>
      <c r="B11" s="5" t="inlineStr">
        <is>
          <t>102</t>
        </is>
      </c>
      <c r="C11" s="5" t="inlineStr">
        <is>
          <t>111</t>
        </is>
      </c>
      <c r="D11" s="4" t="inlineStr">
        <is>
          <t>X(10)</t>
        </is>
      </c>
      <c r="E11" s="4" t="inlineStr">
        <is>
          <t>Número do endereço da Empresa</t>
        </is>
      </c>
    </row>
    <row r="12">
      <c r="A12" s="4" t="inlineStr">
        <is>
          <t>00.08</t>
        </is>
      </c>
      <c r="B12" s="5" t="inlineStr">
        <is>
          <t>112</t>
        </is>
      </c>
      <c r="C12" s="5" t="inlineStr">
        <is>
          <t>141</t>
        </is>
      </c>
      <c r="D12" s="4" t="inlineStr">
        <is>
          <t>X(30)</t>
        </is>
      </c>
      <c r="E12" s="4" t="inlineStr">
        <is>
          <t>Complemento do endereço da Empresa</t>
        </is>
      </c>
    </row>
    <row r="13">
      <c r="A13" s="4" t="inlineStr">
        <is>
          <t>00.09</t>
        </is>
      </c>
      <c r="B13" s="5" t="inlineStr">
        <is>
          <t>142</t>
        </is>
      </c>
      <c r="C13" s="5" t="inlineStr">
        <is>
          <t>149</t>
        </is>
      </c>
      <c r="D13" s="4" t="inlineStr">
        <is>
          <t>9(08)</t>
        </is>
      </c>
      <c r="E13" s="4" t="inlineStr">
        <is>
          <t>CEP Empresa</t>
        </is>
      </c>
    </row>
    <row r="14">
      <c r="A14" s="4" t="inlineStr">
        <is>
          <t>00.10</t>
        </is>
      </c>
      <c r="B14" s="5" t="inlineStr">
        <is>
          <t>150</t>
        </is>
      </c>
      <c r="C14" s="5" t="inlineStr">
        <is>
          <t>199</t>
        </is>
      </c>
      <c r="D14" s="4" t="inlineStr">
        <is>
          <t>X(50)</t>
        </is>
      </c>
      <c r="E14" s="4" t="inlineStr">
        <is>
          <t>Cidade Empresa</t>
        </is>
      </c>
    </row>
    <row r="15">
      <c r="A15" s="4" t="inlineStr">
        <is>
          <t>00.11</t>
        </is>
      </c>
      <c r="B15" s="5" t="inlineStr">
        <is>
          <t>200</t>
        </is>
      </c>
      <c r="C15" s="5" t="inlineStr">
        <is>
          <t>229</t>
        </is>
      </c>
      <c r="D15" s="4" t="inlineStr">
        <is>
          <t>X(30)</t>
        </is>
      </c>
      <c r="E15" s="4" t="inlineStr">
        <is>
          <t>Bairro Empresa</t>
        </is>
      </c>
    </row>
    <row r="16">
      <c r="A16" s="4" t="inlineStr">
        <is>
          <t>00.12</t>
        </is>
      </c>
      <c r="B16" s="5" t="inlineStr">
        <is>
          <t>230</t>
        </is>
      </c>
      <c r="C16" s="5" t="inlineStr">
        <is>
          <t>243</t>
        </is>
      </c>
      <c r="D16" s="4" t="inlineStr">
        <is>
          <t>X(14)</t>
        </is>
      </c>
      <c r="E16" s="4" t="inlineStr">
        <is>
          <t>CNPJ da Empresa</t>
        </is>
      </c>
    </row>
    <row r="17">
      <c r="A17" s="4" t="inlineStr">
        <is>
          <t>00.13</t>
        </is>
      </c>
      <c r="B17" s="5" t="inlineStr">
        <is>
          <t>244</t>
        </is>
      </c>
      <c r="C17" s="5" t="inlineStr">
        <is>
          <t>258</t>
        </is>
      </c>
      <c r="D17" s="4" t="inlineStr">
        <is>
          <t>X(15)</t>
        </is>
      </c>
      <c r="E17" s="4" t="inlineStr">
        <is>
          <t>Inscrição Estadual Empresa</t>
        </is>
      </c>
    </row>
    <row r="18">
      <c r="A18" s="4" t="inlineStr">
        <is>
          <t>00.14</t>
        </is>
      </c>
      <c r="B18" s="5" t="inlineStr">
        <is>
          <t>259</t>
        </is>
      </c>
      <c r="C18" s="5" t="inlineStr">
        <is>
          <t>260</t>
        </is>
      </c>
      <c r="D18" s="4" t="inlineStr">
        <is>
          <t>X(02)</t>
        </is>
      </c>
      <c r="E18" s="4" t="inlineStr">
        <is>
          <t>Sigla da UF Empresa</t>
        </is>
      </c>
    </row>
    <row r="19">
      <c r="A19" s="4" t="inlineStr">
        <is>
          <t>00.15</t>
        </is>
      </c>
      <c r="B19" s="5" t="inlineStr">
        <is>
          <t>261</t>
        </is>
      </c>
      <c r="C19" s="5" t="inlineStr">
        <is>
          <t>320</t>
        </is>
      </c>
      <c r="D19" s="4" t="inlineStr">
        <is>
          <t>X(60)</t>
        </is>
      </c>
      <c r="E19" s="4" t="inlineStr">
        <is>
          <t>Razão Social da Empresa</t>
        </is>
      </c>
    </row>
    <row r="20">
      <c r="A20" s="4" t="inlineStr">
        <is>
          <t>00.16</t>
        </is>
      </c>
      <c r="B20" s="5" t="inlineStr">
        <is>
          <t>321</t>
        </is>
      </c>
      <c r="C20" s="5" t="inlineStr">
        <is>
          <t>550</t>
        </is>
      </c>
      <c r="D20" s="4" t="inlineStr">
        <is>
          <t>X(230)</t>
        </is>
      </c>
      <c r="E20" s="4" t="inlineStr">
        <is>
          <t>Filler</t>
        </is>
      </c>
    </row>
    <row r="21"/>
    <row r="22" ht="25" customHeight="1">
      <c r="A22" s="3" t="inlineStr">
        <is>
          <t>REG 01 - Cliente</t>
        </is>
      </c>
      <c r="B22" s="6" t="n"/>
      <c r="C22" s="6" t="n"/>
      <c r="D22" s="6" t="n"/>
      <c r="E22" s="7" t="n"/>
    </row>
    <row r="23">
      <c r="A23" s="4" t="inlineStr">
        <is>
          <t>01.01</t>
        </is>
      </c>
      <c r="B23" s="5" t="inlineStr">
        <is>
          <t>1</t>
        </is>
      </c>
      <c r="C23" s="5" t="inlineStr">
        <is>
          <t>2</t>
        </is>
      </c>
      <c r="D23" s="4" t="inlineStr">
        <is>
          <t>9(02)</t>
        </is>
      </c>
      <c r="E23" s="4" t="inlineStr">
        <is>
          <t>Tipo de Registro = 01</t>
        </is>
      </c>
    </row>
    <row r="24">
      <c r="A24" s="4" t="inlineStr">
        <is>
          <t>01.02</t>
        </is>
      </c>
      <c r="B24" s="5" t="inlineStr">
        <is>
          <t>3</t>
        </is>
      </c>
      <c r="C24" s="5" t="inlineStr">
        <is>
          <t>17</t>
        </is>
      </c>
      <c r="D24" s="4" t="inlineStr">
        <is>
          <t>9(15)</t>
        </is>
      </c>
      <c r="E24" s="4" t="inlineStr">
        <is>
          <t>Código de Cliente</t>
        </is>
      </c>
    </row>
    <row r="25">
      <c r="A25" s="4" t="inlineStr">
        <is>
          <t>01.03</t>
        </is>
      </c>
      <c r="B25" s="5" t="inlineStr">
        <is>
          <t>18</t>
        </is>
      </c>
      <c r="C25" s="5" t="inlineStr">
        <is>
          <t>30</t>
        </is>
      </c>
      <c r="D25" s="4" t="inlineStr">
        <is>
          <t>9(13)</t>
        </is>
      </c>
      <c r="E25" s="4" t="inlineStr">
        <is>
          <t>Número da CPS/Fatura (CPS + DV)</t>
        </is>
      </c>
    </row>
    <row r="26">
      <c r="A26" s="4" t="inlineStr">
        <is>
          <t>01.04</t>
        </is>
      </c>
      <c r="B26" s="5" t="inlineStr">
        <is>
          <t>31</t>
        </is>
      </c>
      <c r="C26" s="5" t="inlineStr">
        <is>
          <t>38</t>
        </is>
      </c>
      <c r="D26" s="4" t="inlineStr">
        <is>
          <t>9(08)</t>
        </is>
      </c>
      <c r="E26" s="4" t="inlineStr">
        <is>
          <t>Data da Emissão (DDMMAAAA)</t>
        </is>
      </c>
    </row>
    <row r="27">
      <c r="A27" s="4" t="inlineStr">
        <is>
          <t>01.05</t>
        </is>
      </c>
      <c r="B27" s="5" t="inlineStr">
        <is>
          <t>39</t>
        </is>
      </c>
      <c r="C27" s="5" t="inlineStr">
        <is>
          <t>46</t>
        </is>
      </c>
      <c r="D27" s="4" t="inlineStr">
        <is>
          <t>9(08)</t>
        </is>
      </c>
      <c r="E27" s="4" t="inlineStr">
        <is>
          <t>Data de Vencimento (DDMMAAAA)</t>
        </is>
      </c>
    </row>
    <row r="28">
      <c r="A28" s="4" t="inlineStr">
        <is>
          <t>01.06</t>
        </is>
      </c>
      <c r="B28" s="5" t="inlineStr">
        <is>
          <t>47</t>
        </is>
      </c>
      <c r="C28" s="5" t="inlineStr">
        <is>
          <t>101</t>
        </is>
      </c>
      <c r="D28" s="4" t="inlineStr">
        <is>
          <t>X(55)</t>
        </is>
      </c>
      <c r="E28" s="4" t="inlineStr">
        <is>
          <t>Razão Social do Cliente</t>
        </is>
      </c>
    </row>
    <row r="29">
      <c r="A29" s="4" t="inlineStr">
        <is>
          <t>01.07</t>
        </is>
      </c>
      <c r="B29" s="5" t="inlineStr">
        <is>
          <t>102</t>
        </is>
      </c>
      <c r="C29" s="5" t="inlineStr">
        <is>
          <t>161</t>
        </is>
      </c>
      <c r="D29" s="4" t="inlineStr">
        <is>
          <t>X(60)</t>
        </is>
      </c>
      <c r="E29" s="4" t="inlineStr">
        <is>
          <t>Endereço do Cliente</t>
        </is>
      </c>
    </row>
    <row r="30">
      <c r="A30" s="4" t="inlineStr">
        <is>
          <t>01.08</t>
        </is>
      </c>
      <c r="B30" s="5" t="inlineStr">
        <is>
          <t>162</t>
        </is>
      </c>
      <c r="C30" s="5" t="inlineStr">
        <is>
          <t>216</t>
        </is>
      </c>
      <c r="D30" s="4" t="inlineStr">
        <is>
          <t>X(55)</t>
        </is>
      </c>
      <c r="E30" s="4" t="inlineStr">
        <is>
          <t>Nome do Município</t>
        </is>
      </c>
    </row>
    <row r="31">
      <c r="A31" s="4" t="inlineStr">
        <is>
          <t>01.09</t>
        </is>
      </c>
      <c r="B31" s="5" t="inlineStr">
        <is>
          <t>217</t>
        </is>
      </c>
      <c r="C31" s="5" t="inlineStr">
        <is>
          <t>218</t>
        </is>
      </c>
      <c r="D31" s="4" t="inlineStr">
        <is>
          <t>X(02)</t>
        </is>
      </c>
      <c r="E31" s="4" t="inlineStr">
        <is>
          <t>UF do Cliente</t>
        </is>
      </c>
    </row>
    <row r="32">
      <c r="A32" s="4" t="inlineStr">
        <is>
          <t>01.10</t>
        </is>
      </c>
      <c r="B32" s="5" t="inlineStr">
        <is>
          <t>219</t>
        </is>
      </c>
      <c r="C32" s="5" t="inlineStr">
        <is>
          <t>226</t>
        </is>
      </c>
      <c r="D32" s="4" t="inlineStr">
        <is>
          <t>9(08)</t>
        </is>
      </c>
      <c r="E32" s="4" t="inlineStr">
        <is>
          <t>Cep do Cliente</t>
        </is>
      </c>
    </row>
    <row r="33">
      <c r="A33" s="4" t="inlineStr">
        <is>
          <t>01.11</t>
        </is>
      </c>
      <c r="B33" s="5" t="inlineStr">
        <is>
          <t>227</t>
        </is>
      </c>
      <c r="C33" s="5" t="inlineStr">
        <is>
          <t>255</t>
        </is>
      </c>
      <c r="D33" s="4" t="inlineStr">
        <is>
          <t>X(29)</t>
        </is>
      </c>
      <c r="E33" s="4" t="inlineStr">
        <is>
          <t>Bairro do Cliente</t>
        </is>
      </c>
    </row>
    <row r="34">
      <c r="A34" s="4" t="inlineStr">
        <is>
          <t>01.12</t>
        </is>
      </c>
      <c r="B34" s="5" t="inlineStr">
        <is>
          <t>256</t>
        </is>
      </c>
      <c r="C34" s="5" t="inlineStr">
        <is>
          <t>256</t>
        </is>
      </c>
      <c r="D34" s="4" t="inlineStr">
        <is>
          <t>X(1)</t>
        </is>
      </c>
      <c r="E34" s="4" t="inlineStr">
        <is>
          <t>Indicador do tipo de cobrança : Fatura (“1”) ou DANFE (“2”)</t>
        </is>
      </c>
    </row>
    <row r="35">
      <c r="A35" s="4" t="inlineStr">
        <is>
          <t>01.13</t>
        </is>
      </c>
      <c r="B35" s="5" t="inlineStr">
        <is>
          <t>257</t>
        </is>
      </c>
      <c r="C35" s="5" t="inlineStr">
        <is>
          <t>258</t>
        </is>
      </c>
      <c r="D35" s="4" t="inlineStr">
        <is>
          <t>9(02)</t>
        </is>
      </c>
      <c r="E35" s="4" t="inlineStr">
        <is>
          <t>Mídia;</t>
        </is>
      </c>
    </row>
    <row r="36">
      <c r="A36" s="4" t="inlineStr">
        <is>
          <t>01.14</t>
        </is>
      </c>
      <c r="B36" s="5" t="inlineStr">
        <is>
          <t>259</t>
        </is>
      </c>
      <c r="C36" s="5" t="inlineStr">
        <is>
          <t>259</t>
        </is>
      </c>
      <c r="D36" s="4" t="inlineStr">
        <is>
          <t>X(01)</t>
        </is>
      </c>
      <c r="E36" s="4" t="inlineStr">
        <is>
          <t>Tipo Documento:</t>
        </is>
      </c>
    </row>
    <row r="37">
      <c r="A37" s="4" t="inlineStr">
        <is>
          <t>01.15</t>
        </is>
      </c>
      <c r="B37" s="5" t="inlineStr">
        <is>
          <t>260</t>
        </is>
      </c>
      <c r="C37" s="5" t="inlineStr">
        <is>
          <t>260</t>
        </is>
      </c>
      <c r="D37" s="4" t="inlineStr">
        <is>
          <t>9(01)</t>
        </is>
      </c>
      <c r="E37" s="4" t="inlineStr">
        <is>
          <t>Identifica o Movimento do Cliente</t>
        </is>
      </c>
    </row>
    <row r="38">
      <c r="A38" s="4" t="inlineStr">
        <is>
          <t>01.16</t>
        </is>
      </c>
      <c r="B38" s="5" t="inlineStr">
        <is>
          <t>261</t>
        </is>
      </c>
      <c r="C38" s="5" t="inlineStr">
        <is>
          <t>265</t>
        </is>
      </c>
      <c r="D38" s="4" t="inlineStr">
        <is>
          <t>9(05)</t>
        </is>
      </c>
      <c r="E38" s="4" t="inlineStr">
        <is>
          <t>Cod-Centro-Cobrança</t>
        </is>
      </c>
    </row>
    <row r="39">
      <c r="A39" s="4" t="inlineStr">
        <is>
          <t>01.17</t>
        </is>
      </c>
      <c r="B39" s="5" t="inlineStr">
        <is>
          <t>266</t>
        </is>
      </c>
      <c r="C39" s="5" t="inlineStr">
        <is>
          <t>266</t>
        </is>
      </c>
      <c r="D39" s="4" t="inlineStr">
        <is>
          <t>X(01)</t>
        </is>
      </c>
      <c r="E39" s="4" t="inlineStr">
        <is>
          <t>Flag-Débito-Aut</t>
        </is>
      </c>
    </row>
    <row r="40">
      <c r="A40" s="4" t="inlineStr">
        <is>
          <t>01.18</t>
        </is>
      </c>
      <c r="B40" s="5" t="inlineStr">
        <is>
          <t>267</t>
        </is>
      </c>
      <c r="C40" s="5" t="inlineStr">
        <is>
          <t>279</t>
        </is>
      </c>
      <c r="D40" s="4" t="inlineStr">
        <is>
          <t>X(13)</t>
        </is>
      </c>
      <c r="E40" s="4" t="inlineStr">
        <is>
          <t>Número  0800  Editado</t>
        </is>
      </c>
    </row>
    <row r="41">
      <c r="A41" s="4" t="inlineStr">
        <is>
          <t>01.19</t>
        </is>
      </c>
      <c r="B41" s="5" t="inlineStr">
        <is>
          <t>280</t>
        </is>
      </c>
      <c r="C41" s="5" t="inlineStr">
        <is>
          <t>280</t>
        </is>
      </c>
      <c r="D41" s="4" t="inlineStr">
        <is>
          <t>X(01)</t>
        </is>
      </c>
      <c r="E41" s="4" t="inlineStr">
        <is>
          <t>Flag-Cad-Entrega ‘S’  Significa que o endereço de entrega está preenchido</t>
        </is>
      </c>
    </row>
    <row r="42">
      <c r="A42" s="4" t="inlineStr">
        <is>
          <t>01.20</t>
        </is>
      </c>
      <c r="B42" s="5" t="inlineStr">
        <is>
          <t>281</t>
        </is>
      </c>
      <c r="C42" s="5" t="inlineStr">
        <is>
          <t>335</t>
        </is>
      </c>
      <c r="D42" s="4" t="inlineStr">
        <is>
          <t>X(55)</t>
        </is>
      </c>
      <c r="E42" s="4" t="inlineStr">
        <is>
          <t>Nome-Cliente-Entrega</t>
        </is>
      </c>
    </row>
    <row r="43">
      <c r="A43" s="4" t="inlineStr">
        <is>
          <t>01.21</t>
        </is>
      </c>
      <c r="B43" s="5" t="inlineStr">
        <is>
          <t>336</t>
        </is>
      </c>
      <c r="C43" s="5" t="inlineStr">
        <is>
          <t>395</t>
        </is>
      </c>
      <c r="D43" s="4" t="inlineStr">
        <is>
          <t>X(60)</t>
        </is>
      </c>
      <c r="E43" s="4" t="inlineStr">
        <is>
          <t>Endereço-Cliente-Entrega</t>
        </is>
      </c>
    </row>
    <row r="44">
      <c r="A44" s="4" t="inlineStr">
        <is>
          <t>01.22</t>
        </is>
      </c>
      <c r="B44" s="5" t="inlineStr">
        <is>
          <t>396</t>
        </is>
      </c>
      <c r="C44" s="5" t="inlineStr">
        <is>
          <t>450</t>
        </is>
      </c>
      <c r="D44" s="4" t="inlineStr">
        <is>
          <t>X(55)</t>
        </is>
      </c>
      <c r="E44" s="4" t="inlineStr">
        <is>
          <t>Nome-Município-Cliente-Entrega</t>
        </is>
      </c>
    </row>
    <row r="45">
      <c r="A45" s="4" t="inlineStr">
        <is>
          <t>01.23</t>
        </is>
      </c>
      <c r="B45" s="5" t="inlineStr">
        <is>
          <t>451</t>
        </is>
      </c>
      <c r="C45" s="5" t="inlineStr">
        <is>
          <t>452</t>
        </is>
      </c>
      <c r="D45" s="4" t="inlineStr">
        <is>
          <t>X(02)</t>
        </is>
      </c>
      <c r="E45" s="4" t="inlineStr">
        <is>
          <t>Uf-Cliente-Entrega</t>
        </is>
      </c>
    </row>
    <row r="46">
      <c r="A46" s="4" t="inlineStr">
        <is>
          <t>01.24</t>
        </is>
      </c>
      <c r="B46" s="5" t="inlineStr">
        <is>
          <t>453</t>
        </is>
      </c>
      <c r="C46" s="5" t="inlineStr">
        <is>
          <t>460</t>
        </is>
      </c>
      <c r="D46" s="4" t="inlineStr">
        <is>
          <t>9(08)</t>
        </is>
      </c>
      <c r="E46" s="4" t="inlineStr">
        <is>
          <t>Cep-Cliente-Entrega</t>
        </is>
      </c>
    </row>
    <row r="47">
      <c r="A47" s="4" t="inlineStr">
        <is>
          <t>01.25</t>
        </is>
      </c>
      <c r="B47" s="5" t="inlineStr">
        <is>
          <t>461</t>
        </is>
      </c>
      <c r="C47" s="5" t="inlineStr">
        <is>
          <t>490</t>
        </is>
      </c>
      <c r="D47" s="4" t="inlineStr">
        <is>
          <t>X(30)</t>
        </is>
      </c>
      <c r="E47" s="4" t="inlineStr">
        <is>
          <t>Bairro-Cliente-Entrega</t>
        </is>
      </c>
    </row>
    <row r="48">
      <c r="A48" s="4" t="inlineStr">
        <is>
          <t>01.26</t>
        </is>
      </c>
      <c r="B48" s="5" t="inlineStr">
        <is>
          <t>491</t>
        </is>
      </c>
      <c r="C48" s="5" t="inlineStr">
        <is>
          <t>504</t>
        </is>
      </c>
      <c r="D48" s="4" t="inlineStr">
        <is>
          <t>X(14)</t>
        </is>
      </c>
      <c r="E48" s="4" t="inlineStr">
        <is>
          <t>CNPJ-Cliente</t>
        </is>
      </c>
    </row>
    <row r="49">
      <c r="A49" s="4" t="inlineStr">
        <is>
          <t>01.27</t>
        </is>
      </c>
      <c r="B49" s="5" t="inlineStr">
        <is>
          <t>505</t>
        </is>
      </c>
      <c r="C49" s="5" t="inlineStr">
        <is>
          <t>508</t>
        </is>
      </c>
      <c r="D49" s="4" t="inlineStr">
        <is>
          <t>9(04)</t>
        </is>
      </c>
      <c r="E49" s="4" t="inlineStr">
        <is>
          <t>Ano-Mês-Referência</t>
        </is>
      </c>
    </row>
    <row r="50">
      <c r="A50" s="4" t="inlineStr">
        <is>
          <t>01.28</t>
        </is>
      </c>
      <c r="B50" s="5" t="inlineStr">
        <is>
          <t>509</t>
        </is>
      </c>
      <c r="C50" s="5" t="inlineStr">
        <is>
          <t>538</t>
        </is>
      </c>
      <c r="D50" s="4" t="inlineStr">
        <is>
          <t>X(30)</t>
        </is>
      </c>
      <c r="E50" s="4" t="inlineStr">
        <is>
          <t>Dependência-Cliente</t>
        </is>
      </c>
    </row>
    <row r="51">
      <c r="A51" s="4" t="inlineStr">
        <is>
          <t>01.29</t>
        </is>
      </c>
      <c r="B51" s="5" t="inlineStr">
        <is>
          <t>539</t>
        </is>
      </c>
      <c r="C51" s="5" t="inlineStr">
        <is>
          <t>550</t>
        </is>
      </c>
      <c r="D51" s="4" t="inlineStr">
        <is>
          <t>X(12)</t>
        </is>
      </c>
      <c r="E51" s="4" t="inlineStr">
        <is>
          <t>Lote da Net: Contrato –NET</t>
        </is>
      </c>
    </row>
    <row r="52"/>
    <row r="53" ht="25" customHeight="1">
      <c r="A53" s="3" t="inlineStr">
        <is>
          <t>REG 02 - Resumo Serviços</t>
        </is>
      </c>
      <c r="B53" s="6" t="n"/>
      <c r="C53" s="6" t="n"/>
      <c r="D53" s="6" t="n"/>
      <c r="E53" s="7" t="n"/>
    </row>
    <row r="54">
      <c r="A54" s="4" t="inlineStr">
        <is>
          <t>02.01</t>
        </is>
      </c>
      <c r="B54" s="5" t="inlineStr">
        <is>
          <t>1</t>
        </is>
      </c>
      <c r="C54" s="5" t="inlineStr">
        <is>
          <t>2</t>
        </is>
      </c>
      <c r="D54" s="4" t="inlineStr">
        <is>
          <t>9(02)</t>
        </is>
      </c>
      <c r="E54" s="4" t="inlineStr">
        <is>
          <t>Tipo de Registro = 02</t>
        </is>
      </c>
    </row>
    <row r="55">
      <c r="A55" s="4" t="inlineStr">
        <is>
          <t>02.02</t>
        </is>
      </c>
      <c r="B55" s="5" t="inlineStr">
        <is>
          <t>3</t>
        </is>
      </c>
      <c r="C55" s="5" t="inlineStr">
        <is>
          <t>7</t>
        </is>
      </c>
      <c r="D55" s="4" t="inlineStr">
        <is>
          <t>X(5)</t>
        </is>
      </c>
      <c r="E55" s="4" t="inlineStr">
        <is>
          <t>Sigla do Serviço</t>
        </is>
      </c>
    </row>
    <row r="56">
      <c r="A56" s="4" t="inlineStr">
        <is>
          <t>02.03</t>
        </is>
      </c>
      <c r="B56" s="5" t="inlineStr">
        <is>
          <t>8</t>
        </is>
      </c>
      <c r="C56" s="5" t="inlineStr">
        <is>
          <t>57</t>
        </is>
      </c>
      <c r="D56" s="4" t="inlineStr">
        <is>
          <t>X(50)</t>
        </is>
      </c>
      <c r="E56" s="4" t="inlineStr">
        <is>
          <t>Descrição do Serviço</t>
        </is>
      </c>
    </row>
    <row r="57">
      <c r="A57" s="4" t="inlineStr">
        <is>
          <t>02.04</t>
        </is>
      </c>
      <c r="B57" s="5" t="inlineStr">
        <is>
          <t>58</t>
        </is>
      </c>
      <c r="C57" s="5" t="inlineStr">
        <is>
          <t>58</t>
        </is>
      </c>
      <c r="D57" s="4" t="inlineStr">
        <is>
          <t>X(01)</t>
        </is>
      </c>
      <c r="E57" s="4">
        <f> C, Quando  o  valor for negativo,</f>
        <v/>
      </c>
    </row>
    <row r="58">
      <c r="A58" s="4" t="inlineStr">
        <is>
          <t>02.05</t>
        </is>
      </c>
      <c r="B58" s="5" t="inlineStr">
        <is>
          <t>59</t>
        </is>
      </c>
      <c r="C58" s="5" t="inlineStr">
        <is>
          <t>72</t>
        </is>
      </c>
      <c r="D58" s="4" t="inlineStr">
        <is>
          <t>9(12)V99</t>
        </is>
      </c>
      <c r="E58" s="4" t="inlineStr">
        <is>
          <t>Valor do Serviço</t>
        </is>
      </c>
    </row>
    <row r="59">
      <c r="A59" s="4" t="inlineStr">
        <is>
          <t>02.06</t>
        </is>
      </c>
      <c r="B59" s="5" t="inlineStr">
        <is>
          <t>73</t>
        </is>
      </c>
      <c r="C59" s="5" t="inlineStr">
        <is>
          <t>73</t>
        </is>
      </c>
      <c r="D59" s="4" t="inlineStr">
        <is>
          <t>X(01)</t>
        </is>
      </c>
      <c r="E59" s="4" t="inlineStr">
        <is>
          <t>Retenção 4,65%</t>
        </is>
      </c>
    </row>
    <row r="60">
      <c r="A60" s="4" t="inlineStr">
        <is>
          <t>02.07</t>
        </is>
      </c>
      <c r="B60" s="5" t="inlineStr">
        <is>
          <t>74</t>
        </is>
      </c>
      <c r="C60" s="5" t="inlineStr">
        <is>
          <t>87</t>
        </is>
      </c>
      <c r="D60" s="4" t="inlineStr">
        <is>
          <t>9(12)V99</t>
        </is>
      </c>
      <c r="E60" s="4" t="inlineStr">
        <is>
          <t>Valor do Serviço sem Desconto Subst.Tribut.</t>
        </is>
      </c>
    </row>
    <row r="61">
      <c r="A61" s="4" t="inlineStr">
        <is>
          <t>02.08</t>
        </is>
      </c>
      <c r="B61" s="5" t="inlineStr">
        <is>
          <t>88</t>
        </is>
      </c>
      <c r="C61" s="5" t="inlineStr">
        <is>
          <t>101</t>
        </is>
      </c>
      <c r="D61" s="4" t="inlineStr">
        <is>
          <t>9(12)V99</t>
        </is>
      </c>
      <c r="E61" s="4" t="inlineStr">
        <is>
          <t>Valor do Imposto</t>
        </is>
      </c>
    </row>
    <row r="62">
      <c r="A62" s="4" t="inlineStr">
        <is>
          <t>02.09</t>
        </is>
      </c>
      <c r="B62" s="5" t="inlineStr">
        <is>
          <t>102</t>
        </is>
      </c>
      <c r="C62" s="5" t="inlineStr">
        <is>
          <t>102</t>
        </is>
      </c>
      <c r="D62" s="4" t="inlineStr">
        <is>
          <t>X(01)</t>
        </is>
      </c>
      <c r="E62" s="4" t="inlineStr">
        <is>
          <t>Tipo de Imposto</t>
        </is>
      </c>
    </row>
    <row r="63">
      <c r="A63" s="4" t="inlineStr">
        <is>
          <t>02.10</t>
        </is>
      </c>
      <c r="B63" s="5" t="inlineStr">
        <is>
          <t>103</t>
        </is>
      </c>
      <c r="C63" s="5" t="inlineStr">
        <is>
          <t>116</t>
        </is>
      </c>
      <c r="D63" s="4" t="inlineStr">
        <is>
          <t>9(12)V99</t>
        </is>
      </c>
      <c r="E63" s="4" t="inlineStr">
        <is>
          <t>Valor do PIS</t>
        </is>
      </c>
    </row>
    <row r="64">
      <c r="A64" s="4" t="inlineStr">
        <is>
          <t>02.11</t>
        </is>
      </c>
      <c r="B64" s="5" t="inlineStr">
        <is>
          <t>117</t>
        </is>
      </c>
      <c r="C64" s="5" t="inlineStr">
        <is>
          <t>130</t>
        </is>
      </c>
      <c r="D64" s="4" t="inlineStr">
        <is>
          <t>9(12)V99</t>
        </is>
      </c>
      <c r="E64" s="4" t="inlineStr">
        <is>
          <t>Valor do COFINS</t>
        </is>
      </c>
    </row>
    <row r="65">
      <c r="A65" s="4" t="inlineStr">
        <is>
          <t>02.12</t>
        </is>
      </c>
      <c r="B65" s="5" t="inlineStr">
        <is>
          <t>131</t>
        </is>
      </c>
      <c r="C65" s="5" t="inlineStr">
        <is>
          <t>144</t>
        </is>
      </c>
      <c r="D65" s="4" t="inlineStr">
        <is>
          <t>9(12)V99</t>
        </is>
      </c>
      <c r="E65" s="4" t="inlineStr">
        <is>
          <t>Valor do FUST</t>
        </is>
      </c>
    </row>
    <row r="66">
      <c r="A66" s="4" t="inlineStr">
        <is>
          <t>02.13</t>
        </is>
      </c>
      <c r="B66" s="5" t="inlineStr">
        <is>
          <t>145</t>
        </is>
      </c>
      <c r="C66" s="5" t="inlineStr">
        <is>
          <t>158</t>
        </is>
      </c>
      <c r="D66" s="4" t="inlineStr">
        <is>
          <t>9(12)V99</t>
        </is>
      </c>
      <c r="E66" s="4" t="inlineStr">
        <is>
          <t>Valor do FUNTEL</t>
        </is>
      </c>
    </row>
    <row r="67">
      <c r="A67" s="4" t="inlineStr">
        <is>
          <t>02.14</t>
        </is>
      </c>
      <c r="B67" s="5" t="inlineStr">
        <is>
          <t>159</t>
        </is>
      </c>
      <c r="C67" s="5" t="inlineStr">
        <is>
          <t>550</t>
        </is>
      </c>
      <c r="D67" s="4" t="inlineStr">
        <is>
          <t>X(392)</t>
        </is>
      </c>
      <c r="E67" s="4" t="inlineStr">
        <is>
          <t>Filler</t>
        </is>
      </c>
    </row>
    <row r="68"/>
    <row r="69" ht="25" customHeight="1">
      <c r="A69" s="3" t="inlineStr">
        <is>
          <t>REG 03 - Itens Faturamento</t>
        </is>
      </c>
      <c r="B69" s="6" t="n"/>
      <c r="C69" s="6" t="n"/>
      <c r="D69" s="6" t="n"/>
      <c r="E69" s="7" t="n"/>
    </row>
    <row r="70">
      <c r="A70" s="4" t="inlineStr">
        <is>
          <t>03.01</t>
        </is>
      </c>
      <c r="B70" s="5" t="inlineStr">
        <is>
          <t>1</t>
        </is>
      </c>
      <c r="C70" s="5" t="inlineStr">
        <is>
          <t>2</t>
        </is>
      </c>
      <c r="D70" s="4" t="inlineStr">
        <is>
          <t>9(02)</t>
        </is>
      </c>
      <c r="E70" s="4" t="inlineStr">
        <is>
          <t>Tipo de Registro = 03</t>
        </is>
      </c>
    </row>
    <row r="71">
      <c r="A71" s="4" t="inlineStr">
        <is>
          <t>03.02</t>
        </is>
      </c>
      <c r="B71" s="5" t="inlineStr">
        <is>
          <t>3</t>
        </is>
      </c>
      <c r="C71" s="5" t="inlineStr">
        <is>
          <t>9</t>
        </is>
      </c>
      <c r="D71" s="4" t="inlineStr">
        <is>
          <t>9(07)</t>
        </is>
      </c>
      <c r="E71" s="4" t="inlineStr">
        <is>
          <t>Sequencial do Item</t>
        </is>
      </c>
    </row>
    <row r="72">
      <c r="A72" s="4" t="inlineStr">
        <is>
          <t>03.03</t>
        </is>
      </c>
      <c r="B72" s="5" t="inlineStr">
        <is>
          <t>10</t>
        </is>
      </c>
      <c r="C72" s="5" t="inlineStr">
        <is>
          <t>14</t>
        </is>
      </c>
      <c r="D72" s="4" t="inlineStr">
        <is>
          <t>X(05)</t>
        </is>
      </c>
      <c r="E72" s="4" t="inlineStr">
        <is>
          <t>Sigla do Serviço</t>
        </is>
      </c>
    </row>
    <row r="73">
      <c r="A73" s="4" t="inlineStr">
        <is>
          <t>03.04</t>
        </is>
      </c>
      <c r="B73" s="5" t="inlineStr">
        <is>
          <t>15</t>
        </is>
      </c>
      <c r="C73" s="5" t="inlineStr">
        <is>
          <t>64</t>
        </is>
      </c>
      <c r="D73" s="4" t="inlineStr">
        <is>
          <t>X(50)</t>
        </is>
      </c>
      <c r="E73" s="4" t="inlineStr">
        <is>
          <t>Descrição de Serviço</t>
        </is>
      </c>
    </row>
    <row r="74">
      <c r="A74" s="4" t="inlineStr">
        <is>
          <t>03.05</t>
        </is>
      </c>
      <c r="B74" s="5" t="inlineStr">
        <is>
          <t>65</t>
        </is>
      </c>
      <c r="C74" s="5" t="inlineStr">
        <is>
          <t>113</t>
        </is>
      </c>
      <c r="D74" s="4" t="inlineStr">
        <is>
          <t>X(49)</t>
        </is>
      </c>
      <c r="E74" s="4" t="inlineStr">
        <is>
          <t>Origem</t>
        </is>
      </c>
    </row>
    <row r="75">
      <c r="A75" s="4" t="inlineStr">
        <is>
          <t>03.06</t>
        </is>
      </c>
      <c r="B75" s="5" t="inlineStr">
        <is>
          <t>114</t>
        </is>
      </c>
      <c r="C75" s="5" t="inlineStr">
        <is>
          <t>233</t>
        </is>
      </c>
      <c r="D75" s="4" t="inlineStr">
        <is>
          <t>X(120)</t>
        </is>
      </c>
      <c r="E75" s="4" t="inlineStr">
        <is>
          <t>Descrição do item</t>
        </is>
      </c>
    </row>
    <row r="76">
      <c r="A76" s="4" t="inlineStr">
        <is>
          <t>03.07</t>
        </is>
      </c>
      <c r="B76" s="5" t="inlineStr">
        <is>
          <t>234</t>
        </is>
      </c>
      <c r="C76" s="5" t="inlineStr">
        <is>
          <t>239</t>
        </is>
      </c>
      <c r="D76" s="4" t="inlineStr">
        <is>
          <t>9(06)</t>
        </is>
      </c>
      <c r="E76" s="4" t="inlineStr">
        <is>
          <t>Data início Prestação de Serviço (DDMMAA)</t>
        </is>
      </c>
    </row>
    <row r="77">
      <c r="A77" s="4" t="inlineStr">
        <is>
          <t>03.08</t>
        </is>
      </c>
      <c r="B77" s="5" t="inlineStr">
        <is>
          <t>240</t>
        </is>
      </c>
      <c r="C77" s="5" t="inlineStr">
        <is>
          <t>245</t>
        </is>
      </c>
      <c r="D77" s="4" t="inlineStr">
        <is>
          <t>9(06)</t>
        </is>
      </c>
      <c r="E77" s="4" t="inlineStr">
        <is>
          <t>Data fim  Prestação de Serviço (DDMMAA)</t>
        </is>
      </c>
    </row>
    <row r="78">
      <c r="A78" s="4" t="inlineStr">
        <is>
          <t>03.09</t>
        </is>
      </c>
      <c r="B78" s="5" t="inlineStr">
        <is>
          <t>246</t>
        </is>
      </c>
      <c r="C78" s="5" t="inlineStr">
        <is>
          <t>265</t>
        </is>
      </c>
      <c r="D78" s="4" t="inlineStr">
        <is>
          <t>X(20)</t>
        </is>
      </c>
      <c r="E78" s="4" t="inlineStr">
        <is>
          <t>Terminal Destino</t>
        </is>
      </c>
    </row>
    <row r="79">
      <c r="A79" s="4" t="inlineStr">
        <is>
          <t>03.10</t>
        </is>
      </c>
      <c r="B79" s="5" t="inlineStr">
        <is>
          <t>266</t>
        </is>
      </c>
      <c r="C79" s="5" t="inlineStr">
        <is>
          <t>272</t>
        </is>
      </c>
      <c r="D79" s="4" t="inlineStr">
        <is>
          <t>X(07)</t>
        </is>
      </c>
      <c r="E79" s="4" t="inlineStr">
        <is>
          <t>Local Origem</t>
        </is>
      </c>
    </row>
    <row r="80">
      <c r="A80" s="4" t="inlineStr">
        <is>
          <t>03.11</t>
        </is>
      </c>
      <c r="B80" s="5" t="inlineStr">
        <is>
          <t>273</t>
        </is>
      </c>
      <c r="C80" s="5" t="inlineStr">
        <is>
          <t>279</t>
        </is>
      </c>
      <c r="D80" s="4" t="inlineStr">
        <is>
          <t>X(07)</t>
        </is>
      </c>
      <c r="E80" s="4" t="inlineStr">
        <is>
          <t>Local Destino</t>
        </is>
      </c>
    </row>
    <row r="81">
      <c r="A81" s="4" t="inlineStr">
        <is>
          <t>03.12</t>
        </is>
      </c>
      <c r="B81" s="5" t="inlineStr">
        <is>
          <t>280</t>
        </is>
      </c>
      <c r="C81" s="5" t="inlineStr">
        <is>
          <t>285</t>
        </is>
      </c>
      <c r="D81" s="4" t="inlineStr">
        <is>
          <t>X(06)</t>
        </is>
      </c>
      <c r="E81" s="4" t="inlineStr">
        <is>
          <t>Hora início Prestação de Serviço</t>
        </is>
      </c>
    </row>
    <row r="82">
      <c r="A82" s="4" t="inlineStr">
        <is>
          <t>03.13</t>
        </is>
      </c>
      <c r="B82" s="5" t="inlineStr">
        <is>
          <t>286</t>
        </is>
      </c>
      <c r="C82" s="5" t="inlineStr">
        <is>
          <t>291</t>
        </is>
      </c>
      <c r="D82" s="4" t="inlineStr">
        <is>
          <t>X(06)</t>
        </is>
      </c>
      <c r="E82" s="4" t="inlineStr">
        <is>
          <t>Hora fim Prestação de Serviço</t>
        </is>
      </c>
    </row>
    <row r="83">
      <c r="A83" s="4" t="inlineStr">
        <is>
          <t>03.14</t>
        </is>
      </c>
      <c r="B83" s="5" t="inlineStr">
        <is>
          <t>292</t>
        </is>
      </c>
      <c r="C83" s="5" t="inlineStr">
        <is>
          <t>292</t>
        </is>
      </c>
      <c r="D83" s="4" t="inlineStr">
        <is>
          <t>X(01)</t>
        </is>
      </c>
      <c r="E83" s="4" t="inlineStr">
        <is>
          <t>Tipo de Imposto</t>
        </is>
      </c>
    </row>
    <row r="84">
      <c r="A84" s="4" t="inlineStr">
        <is>
          <t>03.15</t>
        </is>
      </c>
      <c r="B84" s="5" t="inlineStr">
        <is>
          <t>293</t>
        </is>
      </c>
      <c r="C84" s="5" t="inlineStr">
        <is>
          <t>295</t>
        </is>
      </c>
      <c r="D84" s="4" t="inlineStr">
        <is>
          <t>X(03)</t>
        </is>
      </c>
      <c r="E84" s="4" t="inlineStr">
        <is>
          <t>Sigla de País</t>
        </is>
      </c>
    </row>
    <row r="85">
      <c r="A85" s="4" t="inlineStr">
        <is>
          <t>03.16</t>
        </is>
      </c>
      <c r="B85" s="5" t="inlineStr">
        <is>
          <t>296</t>
        </is>
      </c>
      <c r="C85" s="5" t="inlineStr">
        <is>
          <t>307</t>
        </is>
      </c>
      <c r="D85" s="4" t="inlineStr">
        <is>
          <t>9(09)V999</t>
        </is>
      </c>
      <c r="E85" s="4" t="inlineStr">
        <is>
          <t>Quantidade  Medida</t>
        </is>
      </c>
    </row>
    <row r="86">
      <c r="A86" s="4" t="inlineStr">
        <is>
          <t>03.17</t>
        </is>
      </c>
      <c r="B86" s="5" t="inlineStr">
        <is>
          <t>308</t>
        </is>
      </c>
      <c r="C86" s="5" t="inlineStr">
        <is>
          <t>313</t>
        </is>
      </c>
      <c r="D86" s="4" t="inlineStr">
        <is>
          <t>X(06)</t>
        </is>
      </c>
      <c r="E86" s="4" t="inlineStr">
        <is>
          <t>Descrição da Unidade Medida</t>
        </is>
      </c>
    </row>
    <row r="87">
      <c r="A87" s="4" t="inlineStr">
        <is>
          <t>03.18</t>
        </is>
      </c>
      <c r="B87" s="5" t="inlineStr">
        <is>
          <t>314</t>
        </is>
      </c>
      <c r="C87" s="5" t="inlineStr">
        <is>
          <t>314</t>
        </is>
      </c>
      <c r="D87" s="4" t="inlineStr">
        <is>
          <t>X(01)</t>
        </is>
      </c>
      <c r="E87" s="4">
        <f> C, quando o valor for negativo</f>
        <v/>
      </c>
    </row>
    <row r="88">
      <c r="A88" s="4" t="inlineStr">
        <is>
          <t>03.19</t>
        </is>
      </c>
      <c r="B88" s="5" t="inlineStr">
        <is>
          <t>315</t>
        </is>
      </c>
      <c r="C88" s="5" t="inlineStr">
        <is>
          <t>325</t>
        </is>
      </c>
      <c r="D88" s="4" t="inlineStr">
        <is>
          <t>9(09)V99</t>
        </is>
      </c>
      <c r="E88" s="4" t="inlineStr">
        <is>
          <t>Valor do Item</t>
        </is>
      </c>
    </row>
    <row r="89">
      <c r="A89" s="4" t="inlineStr">
        <is>
          <t>03.20</t>
        </is>
      </c>
      <c r="B89" s="5" t="inlineStr">
        <is>
          <t>326</t>
        </is>
      </c>
      <c r="C89" s="5" t="inlineStr">
        <is>
          <t>331</t>
        </is>
      </c>
      <c r="D89" s="4" t="inlineStr">
        <is>
          <t>X(06)</t>
        </is>
      </c>
      <c r="E89" s="4" t="inlineStr">
        <is>
          <t>Código-Item (Cod-Tarifa-A)</t>
        </is>
      </c>
    </row>
    <row r="90">
      <c r="A90" s="4" t="inlineStr">
        <is>
          <t>03.21</t>
        </is>
      </c>
      <c r="B90" s="5" t="inlineStr">
        <is>
          <t>332</t>
        </is>
      </c>
      <c r="C90" s="5" t="inlineStr">
        <is>
          <t>345</t>
        </is>
      </c>
      <c r="D90" s="4" t="inlineStr">
        <is>
          <t>9(12)V99</t>
        </is>
      </c>
      <c r="E90" s="4" t="inlineStr">
        <is>
          <t>Valor-Líquido-Item truncado</t>
        </is>
      </c>
    </row>
    <row r="91">
      <c r="A91" s="4" t="inlineStr">
        <is>
          <t>03.22</t>
        </is>
      </c>
      <c r="B91" s="5" t="inlineStr">
        <is>
          <t>346</t>
        </is>
      </c>
      <c r="C91" s="5" t="inlineStr">
        <is>
          <t>347</t>
        </is>
      </c>
      <c r="D91" s="4" t="inlineStr">
        <is>
          <t>X(02)</t>
        </is>
      </c>
      <c r="E91" s="4" t="inlineStr">
        <is>
          <t>Tipo-Item</t>
        </is>
      </c>
    </row>
    <row r="92">
      <c r="A92" s="4" t="inlineStr">
        <is>
          <t>03.23</t>
        </is>
      </c>
      <c r="B92" s="5" t="inlineStr">
        <is>
          <t>348</t>
        </is>
      </c>
      <c r="C92" s="5" t="inlineStr">
        <is>
          <t>348</t>
        </is>
      </c>
      <c r="D92" s="4" t="inlineStr">
        <is>
          <t>X(01)</t>
        </is>
      </c>
      <c r="E92" s="4" t="inlineStr">
        <is>
          <t>INDIC-Débito-Crédito</t>
        </is>
      </c>
    </row>
    <row r="93">
      <c r="A93" s="4" t="inlineStr">
        <is>
          <t>03.24</t>
        </is>
      </c>
      <c r="B93" s="5" t="inlineStr">
        <is>
          <t>349</t>
        </is>
      </c>
      <c r="C93" s="5" t="inlineStr">
        <is>
          <t>357</t>
        </is>
      </c>
      <c r="D93" s="4" t="inlineStr">
        <is>
          <t>X(09)</t>
        </is>
      </c>
      <c r="E93" s="4" t="inlineStr">
        <is>
          <t>Quantidade de Ligações</t>
        </is>
      </c>
    </row>
    <row r="94">
      <c r="A94" s="4" t="inlineStr">
        <is>
          <t>03.25</t>
        </is>
      </c>
      <c r="B94" s="5" t="inlineStr">
        <is>
          <t>358</t>
        </is>
      </c>
      <c r="C94" s="5" t="inlineStr">
        <is>
          <t>362</t>
        </is>
      </c>
      <c r="D94" s="4" t="inlineStr">
        <is>
          <t>X(05)</t>
        </is>
      </c>
      <c r="E94" s="4" t="inlineStr">
        <is>
          <t>Código do Plano Comercial</t>
        </is>
      </c>
    </row>
    <row r="95">
      <c r="A95" s="4" t="inlineStr">
        <is>
          <t>03.26</t>
        </is>
      </c>
      <c r="B95" s="5" t="inlineStr">
        <is>
          <t>363</t>
        </is>
      </c>
      <c r="C95" s="5" t="inlineStr">
        <is>
          <t>365</t>
        </is>
      </c>
      <c r="D95" s="4" t="inlineStr">
        <is>
          <t>X(03)</t>
        </is>
      </c>
      <c r="E95" s="4" t="inlineStr">
        <is>
          <t>PAS (Plano Alternativo de Serviço) Local</t>
        </is>
      </c>
    </row>
    <row r="96">
      <c r="A96" s="4" t="inlineStr">
        <is>
          <t>03.27</t>
        </is>
      </c>
      <c r="B96" s="5" t="inlineStr">
        <is>
          <t>366</t>
        </is>
      </c>
      <c r="C96" s="5" t="inlineStr">
        <is>
          <t>368</t>
        </is>
      </c>
      <c r="D96" s="4" t="inlineStr">
        <is>
          <t>X(03)</t>
        </is>
      </c>
      <c r="E96" s="4" t="inlineStr">
        <is>
          <t>PAS LDN</t>
        </is>
      </c>
    </row>
    <row r="97">
      <c r="A97" s="4" t="inlineStr">
        <is>
          <t>03.28</t>
        </is>
      </c>
      <c r="B97" s="5" t="inlineStr">
        <is>
          <t>369</t>
        </is>
      </c>
      <c r="C97" s="5" t="inlineStr">
        <is>
          <t>371</t>
        </is>
      </c>
      <c r="D97" s="4" t="inlineStr">
        <is>
          <t>X(03)</t>
        </is>
      </c>
      <c r="E97" s="4" t="inlineStr">
        <is>
          <t>PAS LDI</t>
        </is>
      </c>
    </row>
    <row r="98">
      <c r="A98" s="4" t="inlineStr">
        <is>
          <t>03.29</t>
        </is>
      </c>
      <c r="B98" s="5" t="inlineStr">
        <is>
          <t>372</t>
        </is>
      </c>
      <c r="C98" s="5" t="inlineStr">
        <is>
          <t>411</t>
        </is>
      </c>
      <c r="D98" s="4" t="inlineStr">
        <is>
          <t>X(40)</t>
        </is>
      </c>
      <c r="E98" s="4" t="inlineStr">
        <is>
          <t>Descrição do Plano Comercial</t>
        </is>
      </c>
    </row>
    <row r="99">
      <c r="A99" s="4" t="inlineStr">
        <is>
          <t>03.30</t>
        </is>
      </c>
      <c r="B99" s="5" t="inlineStr">
        <is>
          <t>412</t>
        </is>
      </c>
      <c r="C99" s="5" t="inlineStr">
        <is>
          <t>460</t>
        </is>
      </c>
      <c r="D99" s="4" t="inlineStr">
        <is>
          <t>X(49)</t>
        </is>
      </c>
      <c r="E99" s="4" t="inlineStr">
        <is>
          <t>Designação Original</t>
        </is>
      </c>
    </row>
    <row r="100">
      <c r="A100" s="4" t="inlineStr">
        <is>
          <t>03.31</t>
        </is>
      </c>
      <c r="B100" s="5" t="inlineStr">
        <is>
          <t>461</t>
        </is>
      </c>
      <c r="C100" s="5" t="inlineStr">
        <is>
          <t>510</t>
        </is>
      </c>
      <c r="D100" s="4" t="inlineStr">
        <is>
          <t>X(50)</t>
        </is>
      </c>
      <c r="E100" s="4" t="inlineStr">
        <is>
          <t>Mensagens importantes ANATEL</t>
        </is>
      </c>
    </row>
    <row r="101">
      <c r="A101" s="4" t="inlineStr">
        <is>
          <t>03.32</t>
        </is>
      </c>
      <c r="B101" s="5" t="inlineStr">
        <is>
          <t>511</t>
        </is>
      </c>
      <c r="C101" s="5" t="inlineStr">
        <is>
          <t>527</t>
        </is>
      </c>
      <c r="D101" s="4" t="inlineStr">
        <is>
          <t>9(12)v9(5)</t>
        </is>
      </c>
      <c r="E101" s="4" t="inlineStr">
        <is>
          <t>Valor líquido item sem truncar</t>
        </is>
      </c>
    </row>
    <row r="102">
      <c r="A102" s="4" t="inlineStr">
        <is>
          <t>03.33</t>
        </is>
      </c>
      <c r="B102" s="5" t="inlineStr">
        <is>
          <t>528</t>
        </is>
      </c>
      <c r="C102" s="5" t="inlineStr">
        <is>
          <t>535</t>
        </is>
      </c>
      <c r="D102" s="4" t="inlineStr">
        <is>
          <t>9(8)</t>
        </is>
      </c>
      <c r="E102" s="4" t="inlineStr">
        <is>
          <t>Data Término Prazo de Permanência</t>
        </is>
      </c>
    </row>
    <row r="103">
      <c r="A103" s="4" t="inlineStr">
        <is>
          <t>03.34</t>
        </is>
      </c>
      <c r="B103" s="5" t="inlineStr">
        <is>
          <t>536</t>
        </is>
      </c>
      <c r="C103" s="5" t="inlineStr">
        <is>
          <t>550</t>
        </is>
      </c>
      <c r="D103" s="4" t="inlineStr">
        <is>
          <t>X(15)</t>
        </is>
      </c>
      <c r="E103" s="4" t="inlineStr">
        <is>
          <t>Filler</t>
        </is>
      </c>
    </row>
    <row r="104"/>
    <row r="105" ht="25" customHeight="1">
      <c r="A105" s="3" t="inlineStr">
        <is>
          <t>REG 04 - Boleto</t>
        </is>
      </c>
      <c r="B105" s="6" t="n"/>
      <c r="C105" s="6" t="n"/>
      <c r="D105" s="6" t="n"/>
      <c r="E105" s="7" t="n"/>
    </row>
    <row r="106">
      <c r="A106" s="4" t="inlineStr">
        <is>
          <t>04.01</t>
        </is>
      </c>
      <c r="B106" s="5" t="inlineStr">
        <is>
          <t>1</t>
        </is>
      </c>
      <c r="C106" s="5" t="inlineStr">
        <is>
          <t>2</t>
        </is>
      </c>
      <c r="D106" s="4" t="inlineStr">
        <is>
          <t>9(02)</t>
        </is>
      </c>
      <c r="E106" s="4" t="inlineStr">
        <is>
          <t>Tipo de Registro = 04</t>
        </is>
      </c>
    </row>
    <row r="107">
      <c r="A107" s="4" t="inlineStr">
        <is>
          <t>04.02</t>
        </is>
      </c>
      <c r="B107" s="5" t="inlineStr">
        <is>
          <t>3</t>
        </is>
      </c>
      <c r="C107" s="5" t="inlineStr">
        <is>
          <t>22</t>
        </is>
      </c>
      <c r="D107" s="4" t="inlineStr">
        <is>
          <t>X(20)</t>
        </is>
      </c>
      <c r="E107" s="4" t="inlineStr">
        <is>
          <t>Nome do Banco</t>
        </is>
      </c>
    </row>
    <row r="108">
      <c r="A108" s="4" t="inlineStr">
        <is>
          <t>04.03</t>
        </is>
      </c>
      <c r="B108" s="5" t="inlineStr">
        <is>
          <t>23</t>
        </is>
      </c>
      <c r="C108" s="5" t="inlineStr">
        <is>
          <t>26</t>
        </is>
      </c>
      <c r="D108" s="4" t="inlineStr">
        <is>
          <t>9(04)</t>
        </is>
      </c>
      <c r="E108" s="4" t="inlineStr">
        <is>
          <t>Código do Banco</t>
        </is>
      </c>
    </row>
    <row r="109">
      <c r="A109" s="4" t="inlineStr">
        <is>
          <t>04.04</t>
        </is>
      </c>
      <c r="B109" s="5" t="inlineStr">
        <is>
          <t>27</t>
        </is>
      </c>
      <c r="C109" s="5" t="inlineStr">
        <is>
          <t>39</t>
        </is>
      </c>
      <c r="D109" s="4" t="inlineStr">
        <is>
          <t>9(13)</t>
        </is>
      </c>
      <c r="E109" s="4" t="inlineStr">
        <is>
          <t>Agência Cod-Cedente,</t>
        </is>
      </c>
    </row>
    <row r="110">
      <c r="A110" s="4" t="inlineStr">
        <is>
          <t>04.05</t>
        </is>
      </c>
      <c r="B110" s="5" t="inlineStr">
        <is>
          <t>40</t>
        </is>
      </c>
      <c r="C110" s="5" t="inlineStr">
        <is>
          <t>47</t>
        </is>
      </c>
      <c r="D110" s="4" t="inlineStr">
        <is>
          <t>9(08)</t>
        </is>
      </c>
      <c r="E110" s="4" t="inlineStr">
        <is>
          <t>Data do Documento (DDMMAAAA)</t>
        </is>
      </c>
    </row>
    <row r="111">
      <c r="A111" s="4" t="inlineStr">
        <is>
          <t>04.06</t>
        </is>
      </c>
      <c r="B111" s="5" t="inlineStr">
        <is>
          <t>48</t>
        </is>
      </c>
      <c r="C111" s="5" t="inlineStr">
        <is>
          <t>59</t>
        </is>
      </c>
      <c r="D111" s="4" t="inlineStr">
        <is>
          <t>9(12)</t>
        </is>
      </c>
      <c r="E111" s="4" t="inlineStr">
        <is>
          <t>Número do Documento</t>
        </is>
      </c>
    </row>
    <row r="112">
      <c r="A112" s="4" t="inlineStr">
        <is>
          <t>04.07</t>
        </is>
      </c>
      <c r="B112" s="5" t="inlineStr">
        <is>
          <t>60</t>
        </is>
      </c>
      <c r="C112" s="5" t="inlineStr">
        <is>
          <t>65</t>
        </is>
      </c>
      <c r="D112" s="4" t="inlineStr">
        <is>
          <t>X(06)</t>
        </is>
      </c>
      <c r="E112" s="4" t="inlineStr">
        <is>
          <t>Cód-Espécie Documento</t>
        </is>
      </c>
    </row>
    <row r="113">
      <c r="A113" s="4" t="inlineStr">
        <is>
          <t>04.08</t>
        </is>
      </c>
      <c r="B113" s="5" t="inlineStr">
        <is>
          <t>66</t>
        </is>
      </c>
      <c r="C113" s="5" t="inlineStr">
        <is>
          <t>71</t>
        </is>
      </c>
      <c r="D113" s="4" t="inlineStr">
        <is>
          <t>X(06)</t>
        </is>
      </c>
      <c r="E113" s="4" t="inlineStr">
        <is>
          <t>Cód-Aceite</t>
        </is>
      </c>
    </row>
    <row r="114">
      <c r="A114" s="4" t="inlineStr">
        <is>
          <t>04.09</t>
        </is>
      </c>
      <c r="B114" s="5" t="inlineStr">
        <is>
          <t>72</t>
        </is>
      </c>
      <c r="C114" s="5" t="inlineStr">
        <is>
          <t>79</t>
        </is>
      </c>
      <c r="D114" s="4" t="inlineStr">
        <is>
          <t>9(08)</t>
        </is>
      </c>
      <c r="E114" s="4" t="inlineStr">
        <is>
          <t>Data de Processamento (DDMMAAAA)</t>
        </is>
      </c>
    </row>
    <row r="115">
      <c r="A115" s="4" t="inlineStr">
        <is>
          <t>04.10</t>
        </is>
      </c>
      <c r="B115" s="5" t="inlineStr">
        <is>
          <t>80</t>
        </is>
      </c>
      <c r="C115" s="5" t="inlineStr">
        <is>
          <t>87</t>
        </is>
      </c>
      <c r="D115" s="4" t="inlineStr">
        <is>
          <t>X(08)</t>
        </is>
      </c>
      <c r="E115" s="4" t="inlineStr">
        <is>
          <t>Cód.Uso do Banco</t>
        </is>
      </c>
    </row>
    <row r="116">
      <c r="A116" s="4" t="inlineStr">
        <is>
          <t>04.11</t>
        </is>
      </c>
      <c r="B116" s="5" t="inlineStr">
        <is>
          <t>88</t>
        </is>
      </c>
      <c r="C116" s="5" t="inlineStr">
        <is>
          <t>93</t>
        </is>
      </c>
      <c r="D116" s="4" t="inlineStr">
        <is>
          <t>9(06)</t>
        </is>
      </c>
      <c r="E116" s="4" t="inlineStr">
        <is>
          <t>Cód-Carteira</t>
        </is>
      </c>
    </row>
    <row r="117">
      <c r="A117" s="4" t="inlineStr">
        <is>
          <t>04.12</t>
        </is>
      </c>
      <c r="B117" s="5" t="inlineStr">
        <is>
          <t>94</t>
        </is>
      </c>
      <c r="C117" s="5" t="inlineStr">
        <is>
          <t>113</t>
        </is>
      </c>
      <c r="D117" s="4" t="inlineStr">
        <is>
          <t>X(20)</t>
        </is>
      </c>
      <c r="E117" s="4" t="inlineStr">
        <is>
          <t>Cód-Nosso-Número</t>
        </is>
      </c>
    </row>
    <row r="118">
      <c r="A118" s="4" t="inlineStr">
        <is>
          <t>04.13</t>
        </is>
      </c>
      <c r="B118" s="5" t="inlineStr">
        <is>
          <t>114</t>
        </is>
      </c>
      <c r="C118" s="5" t="inlineStr">
        <is>
          <t>121</t>
        </is>
      </c>
      <c r="D118" s="4" t="inlineStr">
        <is>
          <t>9(08)</t>
        </is>
      </c>
      <c r="E118" s="4" t="inlineStr">
        <is>
          <t>Data de Vencimento (DDMMAAAA)</t>
        </is>
      </c>
    </row>
    <row r="119">
      <c r="A119" s="4" t="inlineStr">
        <is>
          <t>04.14</t>
        </is>
      </c>
      <c r="B119" s="5" t="inlineStr">
        <is>
          <t>122</t>
        </is>
      </c>
      <c r="C119" s="5" t="inlineStr">
        <is>
          <t>122</t>
        </is>
      </c>
      <c r="D119" s="4" t="inlineStr">
        <is>
          <t>X(01)</t>
        </is>
      </c>
      <c r="E119" s="4">
        <f> C, Quando  o  valor for negativo</f>
        <v/>
      </c>
    </row>
    <row r="120">
      <c r="A120" s="4" t="inlineStr">
        <is>
          <t>04.15</t>
        </is>
      </c>
      <c r="B120" s="5" t="inlineStr">
        <is>
          <t>123</t>
        </is>
      </c>
      <c r="C120" s="5" t="inlineStr">
        <is>
          <t>137</t>
        </is>
      </c>
      <c r="D120" s="4" t="inlineStr">
        <is>
          <t>9(13)V99</t>
        </is>
      </c>
      <c r="E120" s="4" t="inlineStr">
        <is>
          <t>Valor do Documento</t>
        </is>
      </c>
    </row>
    <row r="121">
      <c r="A121" s="4" t="inlineStr">
        <is>
          <t>04.16</t>
        </is>
      </c>
      <c r="B121" s="5" t="inlineStr">
        <is>
          <t>138</t>
        </is>
      </c>
      <c r="C121" s="5" t="inlineStr">
        <is>
          <t>138</t>
        </is>
      </c>
      <c r="D121" s="4" t="inlineStr">
        <is>
          <t>X(01)</t>
        </is>
      </c>
      <c r="E121" s="4">
        <f> C, Quando o valor for negativo</f>
        <v/>
      </c>
    </row>
    <row r="122">
      <c r="A122" s="4" t="inlineStr">
        <is>
          <t>04.17</t>
        </is>
      </c>
      <c r="B122" s="5" t="inlineStr">
        <is>
          <t>139</t>
        </is>
      </c>
      <c r="C122" s="5" t="inlineStr">
        <is>
          <t>149</t>
        </is>
      </c>
      <c r="D122" s="4" t="inlineStr">
        <is>
          <t>9(09)V99</t>
        </is>
      </c>
      <c r="E122" s="4" t="inlineStr">
        <is>
          <t>Valor de Desconto</t>
        </is>
      </c>
    </row>
    <row r="123">
      <c r="A123" s="4" t="inlineStr">
        <is>
          <t>04.18</t>
        </is>
      </c>
      <c r="B123" s="5" t="inlineStr">
        <is>
          <t>150</t>
        </is>
      </c>
      <c r="C123" s="5" t="inlineStr">
        <is>
          <t>150</t>
        </is>
      </c>
      <c r="D123" s="4" t="inlineStr">
        <is>
          <t>X(01)</t>
        </is>
      </c>
      <c r="E123" s="4">
        <f> C, Quando  o   valor for negativo</f>
        <v/>
      </c>
    </row>
    <row r="124">
      <c r="A124" s="4" t="inlineStr">
        <is>
          <t>04.19</t>
        </is>
      </c>
      <c r="B124" s="5" t="inlineStr">
        <is>
          <t>151</t>
        </is>
      </c>
      <c r="C124" s="5" t="inlineStr">
        <is>
          <t>161</t>
        </is>
      </c>
      <c r="D124" s="4" t="inlineStr">
        <is>
          <t>9(09)V99</t>
        </is>
      </c>
      <c r="E124" s="4" t="inlineStr">
        <is>
          <t>Outras Deduções/Abatimentos</t>
        </is>
      </c>
    </row>
    <row r="125">
      <c r="A125" s="4" t="inlineStr">
        <is>
          <t>04.20</t>
        </is>
      </c>
      <c r="B125" s="5" t="inlineStr">
        <is>
          <t>162</t>
        </is>
      </c>
      <c r="C125" s="5" t="inlineStr">
        <is>
          <t>162</t>
        </is>
      </c>
      <c r="D125" s="4" t="inlineStr">
        <is>
          <t>X(01)</t>
        </is>
      </c>
      <c r="E125" s="4">
        <f> C, Quando  o  valor for negativo</f>
        <v/>
      </c>
    </row>
    <row r="126">
      <c r="A126" s="4" t="inlineStr">
        <is>
          <t>04.21</t>
        </is>
      </c>
      <c r="B126" s="5" t="inlineStr">
        <is>
          <t>163</t>
        </is>
      </c>
      <c r="C126" s="5" t="inlineStr">
        <is>
          <t>173</t>
        </is>
      </c>
      <c r="D126" s="4" t="inlineStr">
        <is>
          <t>9(09)V99</t>
        </is>
      </c>
      <c r="E126" s="4" t="inlineStr">
        <is>
          <t>Mora/Multa/Juros</t>
        </is>
      </c>
    </row>
    <row r="127">
      <c r="A127" s="4" t="inlineStr">
        <is>
          <t>04.22</t>
        </is>
      </c>
      <c r="B127" s="5" t="inlineStr">
        <is>
          <t>174</t>
        </is>
      </c>
      <c r="C127" s="5" t="inlineStr">
        <is>
          <t>174</t>
        </is>
      </c>
      <c r="D127" s="4" t="inlineStr">
        <is>
          <t>X(01)</t>
        </is>
      </c>
      <c r="E127" s="4">
        <f> C, Quando  o   valor for negativo</f>
        <v/>
      </c>
    </row>
    <row r="128">
      <c r="A128" s="4" t="inlineStr">
        <is>
          <t>04.23</t>
        </is>
      </c>
      <c r="B128" s="5" t="inlineStr">
        <is>
          <t>175</t>
        </is>
      </c>
      <c r="C128" s="5" t="inlineStr">
        <is>
          <t>185</t>
        </is>
      </c>
      <c r="D128" s="4" t="inlineStr">
        <is>
          <t>9(09)V99</t>
        </is>
      </c>
      <c r="E128" s="4" t="inlineStr">
        <is>
          <t>Base Cálculo 9,45%</t>
        </is>
      </c>
    </row>
    <row r="129">
      <c r="A129" s="4" t="inlineStr">
        <is>
          <t>04.24</t>
        </is>
      </c>
      <c r="B129" s="5" t="inlineStr">
        <is>
          <t>186</t>
        </is>
      </c>
      <c r="C129" s="5" t="inlineStr">
        <is>
          <t>186</t>
        </is>
      </c>
      <c r="D129" s="4" t="inlineStr">
        <is>
          <t>X(01)</t>
        </is>
      </c>
      <c r="E129" s="4">
        <f> C, Quando  o   valor for negativo</f>
        <v/>
      </c>
    </row>
    <row r="130">
      <c r="A130" s="4" t="inlineStr">
        <is>
          <t>04.25</t>
        </is>
      </c>
      <c r="B130" s="5" t="inlineStr">
        <is>
          <t>187</t>
        </is>
      </c>
      <c r="C130" s="5" t="inlineStr">
        <is>
          <t>201</t>
        </is>
      </c>
      <c r="D130" s="4" t="inlineStr">
        <is>
          <t>9(13)V99</t>
        </is>
      </c>
      <c r="E130" s="4" t="inlineStr">
        <is>
          <t>Valor Cobrado</t>
        </is>
      </c>
    </row>
    <row r="131">
      <c r="A131" s="4" t="inlineStr">
        <is>
          <t>04.26</t>
        </is>
      </c>
      <c r="B131" s="5" t="inlineStr">
        <is>
          <t>202</t>
        </is>
      </c>
      <c r="C131" s="5" t="inlineStr">
        <is>
          <t>251</t>
        </is>
      </c>
      <c r="D131" s="4" t="inlineStr">
        <is>
          <t>X(50)</t>
        </is>
      </c>
      <c r="E131" s="4" t="inlineStr">
        <is>
          <t>Mensagem que Consta no Bloqueto</t>
        </is>
      </c>
    </row>
    <row r="132">
      <c r="A132" s="4" t="inlineStr">
        <is>
          <t>04.27</t>
        </is>
      </c>
      <c r="B132" s="5" t="inlineStr">
        <is>
          <t>252</t>
        </is>
      </c>
      <c r="C132" s="5" t="inlineStr">
        <is>
          <t>301</t>
        </is>
      </c>
      <c r="D132" s="4" t="inlineStr">
        <is>
          <t>X(50)</t>
        </is>
      </c>
      <c r="E132" s="4" t="inlineStr">
        <is>
          <t>Mensagem que Consta no Bloqueto</t>
        </is>
      </c>
    </row>
    <row r="133">
      <c r="A133" s="4" t="inlineStr">
        <is>
          <t>04.28</t>
        </is>
      </c>
      <c r="B133" s="5" t="inlineStr">
        <is>
          <t>302</t>
        </is>
      </c>
      <c r="C133" s="5" t="inlineStr">
        <is>
          <t>351</t>
        </is>
      </c>
      <c r="D133" s="4" t="inlineStr">
        <is>
          <t>X(50)</t>
        </is>
      </c>
      <c r="E133" s="4" t="inlineStr">
        <is>
          <t>Mensagem que Consta no Bloqueto</t>
        </is>
      </c>
    </row>
    <row r="134">
      <c r="A134" s="4" t="inlineStr">
        <is>
          <t>04.29</t>
        </is>
      </c>
      <c r="B134" s="5" t="inlineStr">
        <is>
          <t>352</t>
        </is>
      </c>
      <c r="C134" s="5" t="inlineStr">
        <is>
          <t>359</t>
        </is>
      </c>
      <c r="D134" s="4" t="inlineStr">
        <is>
          <t>X(08)</t>
        </is>
      </c>
      <c r="E134" s="4" t="inlineStr">
        <is>
          <t>Cód. da Baixa</t>
        </is>
      </c>
    </row>
    <row r="135">
      <c r="A135" s="4" t="inlineStr">
        <is>
          <t>04.30</t>
        </is>
      </c>
      <c r="B135" s="5" t="inlineStr">
        <is>
          <t>360</t>
        </is>
      </c>
      <c r="C135" s="5" t="inlineStr">
        <is>
          <t>405</t>
        </is>
      </c>
      <c r="D135" s="4" t="inlineStr">
        <is>
          <t>X(46)</t>
        </is>
      </c>
      <c r="E135" s="4" t="inlineStr">
        <is>
          <t>String do Código de Barras</t>
        </is>
      </c>
    </row>
    <row r="136">
      <c r="A136" s="4" t="inlineStr">
        <is>
          <t>04.31</t>
        </is>
      </c>
      <c r="B136" s="5" t="inlineStr">
        <is>
          <t>406</t>
        </is>
      </c>
      <c r="C136" s="5" t="inlineStr">
        <is>
          <t>461</t>
        </is>
      </c>
      <c r="D136" s="4" t="inlineStr">
        <is>
          <t>X(56)</t>
        </is>
      </c>
      <c r="E136" s="4" t="inlineStr">
        <is>
          <t>Linha Digitável (Código de Barras)</t>
        </is>
      </c>
    </row>
    <row r="137">
      <c r="A137" s="4" t="inlineStr">
        <is>
          <t>04.32</t>
        </is>
      </c>
      <c r="B137" s="5" t="inlineStr">
        <is>
          <t>462</t>
        </is>
      </c>
      <c r="C137" s="5" t="inlineStr">
        <is>
          <t>462</t>
        </is>
      </c>
      <c r="D137" s="4" t="inlineStr">
        <is>
          <t>X(01)</t>
        </is>
      </c>
      <c r="E137" s="4">
        <f> C, Quando  o  valor for negativo</f>
        <v/>
      </c>
    </row>
    <row r="138">
      <c r="A138" s="4" t="inlineStr">
        <is>
          <t>04.33</t>
        </is>
      </c>
      <c r="B138" s="5" t="inlineStr">
        <is>
          <t>463</t>
        </is>
      </c>
      <c r="C138" s="5" t="inlineStr">
        <is>
          <t>474</t>
        </is>
      </c>
      <c r="D138" s="4" t="inlineStr">
        <is>
          <t>9(10)V99</t>
        </is>
      </c>
      <c r="E138" s="4" t="inlineStr">
        <is>
          <t>Valor Fust (Imposto)</t>
        </is>
      </c>
    </row>
    <row r="139">
      <c r="A139" s="4" t="inlineStr">
        <is>
          <t>04.34</t>
        </is>
      </c>
      <c r="B139" s="5" t="inlineStr">
        <is>
          <t>475</t>
        </is>
      </c>
      <c r="C139" s="5" t="inlineStr">
        <is>
          <t>475</t>
        </is>
      </c>
      <c r="D139" s="4" t="inlineStr">
        <is>
          <t>X(01)</t>
        </is>
      </c>
      <c r="E139" s="4">
        <f> C, Quando  o  valor for negativo</f>
        <v/>
      </c>
    </row>
    <row r="140">
      <c r="A140" s="4" t="inlineStr">
        <is>
          <t>04.35</t>
        </is>
      </c>
      <c r="B140" s="5" t="inlineStr">
        <is>
          <t>476</t>
        </is>
      </c>
      <c r="C140" s="5" t="inlineStr">
        <is>
          <t>485</t>
        </is>
      </c>
      <c r="D140" s="4" t="inlineStr">
        <is>
          <t>9(08)V99</t>
        </is>
      </c>
      <c r="E140" s="4" t="inlineStr">
        <is>
          <t>Valor  Funtel</t>
        </is>
      </c>
    </row>
    <row r="141">
      <c r="A141" s="4" t="inlineStr">
        <is>
          <t>04.36</t>
        </is>
      </c>
      <c r="B141" s="5" t="inlineStr">
        <is>
          <t>486</t>
        </is>
      </c>
      <c r="C141" s="5" t="inlineStr">
        <is>
          <t>499</t>
        </is>
      </c>
      <c r="D141" s="4" t="inlineStr">
        <is>
          <t>X(14)</t>
        </is>
      </c>
      <c r="E141" s="4" t="inlineStr">
        <is>
          <t>CNPJ  do Cliente</t>
        </is>
      </c>
    </row>
    <row r="142">
      <c r="A142" s="4" t="inlineStr">
        <is>
          <t>04.37</t>
        </is>
      </c>
      <c r="B142" s="5" t="inlineStr">
        <is>
          <t>500</t>
        </is>
      </c>
      <c r="C142" s="5" t="inlineStr">
        <is>
          <t>501</t>
        </is>
      </c>
      <c r="D142" s="4" t="inlineStr">
        <is>
          <t>X(02)</t>
        </is>
      </c>
      <c r="E142" s="4" t="inlineStr">
        <is>
          <t>Código de Postagem</t>
        </is>
      </c>
    </row>
    <row r="143">
      <c r="A143" s="4" t="inlineStr">
        <is>
          <t>04.38</t>
        </is>
      </c>
      <c r="B143" s="5" t="inlineStr">
        <is>
          <t>502</t>
        </is>
      </c>
      <c r="C143" s="5" t="inlineStr">
        <is>
          <t>502</t>
        </is>
      </c>
      <c r="D143" s="4" t="inlineStr">
        <is>
          <t>X(01)</t>
        </is>
      </c>
      <c r="E143" s="4" t="inlineStr">
        <is>
          <t>Indica-fust</t>
        </is>
      </c>
    </row>
    <row r="144">
      <c r="A144" s="4" t="inlineStr">
        <is>
          <t>04.39</t>
        </is>
      </c>
      <c r="B144" s="5" t="inlineStr">
        <is>
          <t>503</t>
        </is>
      </c>
      <c r="C144" s="5" t="inlineStr">
        <is>
          <t>522</t>
        </is>
      </c>
      <c r="D144" s="4" t="inlineStr">
        <is>
          <t>X(20)</t>
        </is>
      </c>
      <c r="E144" s="4" t="inlineStr">
        <is>
          <t>Agencia cod-cedente Formatado</t>
        </is>
      </c>
    </row>
    <row r="145">
      <c r="A145" s="4" t="inlineStr">
        <is>
          <t>04.40</t>
        </is>
      </c>
      <c r="B145" s="5" t="inlineStr">
        <is>
          <t>523</t>
        </is>
      </c>
      <c r="C145" s="5" t="inlineStr">
        <is>
          <t>529</t>
        </is>
      </c>
      <c r="D145" s="4" t="inlineStr">
        <is>
          <t>9(05)v99</t>
        </is>
      </c>
      <c r="E145" s="4" t="inlineStr">
        <is>
          <t>Parcela retenção 9,45 IR</t>
        </is>
      </c>
    </row>
    <row r="146">
      <c r="A146" s="4" t="inlineStr">
        <is>
          <t>04.41</t>
        </is>
      </c>
      <c r="B146" s="5" t="inlineStr">
        <is>
          <t>530</t>
        </is>
      </c>
      <c r="C146" s="5" t="inlineStr">
        <is>
          <t>536</t>
        </is>
      </c>
      <c r="D146" s="4" t="inlineStr">
        <is>
          <t>9(05)v99</t>
        </is>
      </c>
      <c r="E146" s="4" t="inlineStr">
        <is>
          <t>Parcela retenção 9,45 CSLL</t>
        </is>
      </c>
    </row>
    <row r="147">
      <c r="A147" s="4" t="inlineStr">
        <is>
          <t>04.42</t>
        </is>
      </c>
      <c r="B147" s="5" t="inlineStr">
        <is>
          <t>537</t>
        </is>
      </c>
      <c r="C147" s="5" t="inlineStr">
        <is>
          <t>543</t>
        </is>
      </c>
      <c r="D147" s="4" t="inlineStr">
        <is>
          <t>9(05)v99</t>
        </is>
      </c>
      <c r="E147" s="4" t="inlineStr">
        <is>
          <t>Parcela retenção 9,45 COFINS</t>
        </is>
      </c>
    </row>
    <row r="148">
      <c r="A148" s="4" t="inlineStr">
        <is>
          <t>04.43</t>
        </is>
      </c>
      <c r="B148" s="5" t="inlineStr">
        <is>
          <t>544</t>
        </is>
      </c>
      <c r="C148" s="5" t="inlineStr">
        <is>
          <t>550</t>
        </is>
      </c>
      <c r="D148" s="4" t="inlineStr">
        <is>
          <t>9(05)v99</t>
        </is>
      </c>
      <c r="E148" s="4" t="inlineStr">
        <is>
          <t>Parcela retenção 9,45 PIS</t>
        </is>
      </c>
    </row>
    <row r="149"/>
    <row r="150" ht="25" customHeight="1">
      <c r="A150" s="3" t="inlineStr">
        <is>
          <t>REG 05 - Msgs Fatura (Mod22)</t>
        </is>
      </c>
      <c r="B150" s="6" t="n"/>
      <c r="C150" s="6" t="n"/>
      <c r="D150" s="6" t="n"/>
      <c r="E150" s="7" t="n"/>
    </row>
    <row r="151">
      <c r="A151" s="4" t="inlineStr">
        <is>
          <t>05.01</t>
        </is>
      </c>
      <c r="B151" s="5" t="inlineStr">
        <is>
          <t>1</t>
        </is>
      </c>
      <c r="C151" s="5" t="inlineStr">
        <is>
          <t>2</t>
        </is>
      </c>
      <c r="D151" s="4" t="inlineStr">
        <is>
          <t>9(02)</t>
        </is>
      </c>
      <c r="E151" s="4" t="inlineStr">
        <is>
          <t>Tipo de Registro = 05</t>
        </is>
      </c>
    </row>
    <row r="152">
      <c r="A152" s="4" t="inlineStr">
        <is>
          <t>05.02</t>
        </is>
      </c>
      <c r="B152" s="5" t="inlineStr">
        <is>
          <t>3</t>
        </is>
      </c>
      <c r="C152" s="5" t="inlineStr">
        <is>
          <t>148</t>
        </is>
      </c>
      <c r="D152" s="4" t="inlineStr">
        <is>
          <t>X(146)</t>
        </is>
      </c>
      <c r="E152" s="4" t="inlineStr">
        <is>
          <t>Mensagem da CPS/Fatura</t>
        </is>
      </c>
    </row>
    <row r="153">
      <c r="A153" s="4" t="inlineStr">
        <is>
          <t>05.03</t>
        </is>
      </c>
      <c r="B153" s="5" t="inlineStr">
        <is>
          <t>149</t>
        </is>
      </c>
      <c r="C153" s="5" t="inlineStr">
        <is>
          <t>550</t>
        </is>
      </c>
      <c r="D153" s="4" t="inlineStr">
        <is>
          <t>X(402)</t>
        </is>
      </c>
      <c r="E153" s="4" t="inlineStr">
        <is>
          <t>Filler</t>
        </is>
      </c>
    </row>
    <row r="154"/>
    <row r="155" ht="25" customHeight="1">
      <c r="A155" s="3" t="inlineStr">
        <is>
          <t>REG 06 - Total Tributos</t>
        </is>
      </c>
      <c r="B155" s="6" t="n"/>
      <c r="C155" s="6" t="n"/>
      <c r="D155" s="6" t="n"/>
      <c r="E155" s="7" t="n"/>
    </row>
    <row r="156">
      <c r="A156" s="4" t="inlineStr">
        <is>
          <t>06.01</t>
        </is>
      </c>
      <c r="B156" s="5" t="inlineStr">
        <is>
          <t>1</t>
        </is>
      </c>
      <c r="C156" s="5" t="inlineStr">
        <is>
          <t>2</t>
        </is>
      </c>
      <c r="D156" s="4" t="inlineStr">
        <is>
          <t>9(02)</t>
        </is>
      </c>
      <c r="E156" s="4" t="inlineStr">
        <is>
          <t>Tipo de Registro = 06</t>
        </is>
      </c>
    </row>
    <row r="157">
      <c r="A157" s="4" t="inlineStr">
        <is>
          <t>06.02</t>
        </is>
      </c>
      <c r="B157" s="5" t="inlineStr">
        <is>
          <t>3</t>
        </is>
      </c>
      <c r="C157" s="5" t="inlineStr">
        <is>
          <t>16</t>
        </is>
      </c>
      <c r="D157" s="4" t="inlineStr">
        <is>
          <t>9(12)V99</t>
        </is>
      </c>
      <c r="E157" s="4" t="inlineStr">
        <is>
          <t>Valor do ICMS</t>
        </is>
      </c>
    </row>
    <row r="158">
      <c r="A158" s="4" t="inlineStr">
        <is>
          <t>06.03</t>
        </is>
      </c>
      <c r="B158" s="5" t="inlineStr">
        <is>
          <t>17</t>
        </is>
      </c>
      <c r="C158" s="5" t="inlineStr">
        <is>
          <t>30</t>
        </is>
      </c>
      <c r="D158" s="4" t="inlineStr">
        <is>
          <t>9(12)V99</t>
        </is>
      </c>
      <c r="E158" s="4" t="inlineStr">
        <is>
          <t>Valor do ISS</t>
        </is>
      </c>
    </row>
    <row r="159">
      <c r="A159" s="4" t="inlineStr">
        <is>
          <t>06.04</t>
        </is>
      </c>
      <c r="B159" s="5" t="inlineStr">
        <is>
          <t>31</t>
        </is>
      </c>
      <c r="C159" s="5" t="inlineStr">
        <is>
          <t>44</t>
        </is>
      </c>
      <c r="D159" s="4" t="inlineStr">
        <is>
          <t>9(12)V99</t>
        </is>
      </c>
      <c r="E159" s="4" t="inlineStr">
        <is>
          <t>Valor do PIS</t>
        </is>
      </c>
    </row>
    <row r="160">
      <c r="A160" s="4" t="inlineStr">
        <is>
          <t>06.05</t>
        </is>
      </c>
      <c r="B160" s="5" t="inlineStr">
        <is>
          <t>45</t>
        </is>
      </c>
      <c r="C160" s="5" t="inlineStr">
        <is>
          <t>58</t>
        </is>
      </c>
      <c r="D160" s="4" t="inlineStr">
        <is>
          <t>9(12)V99</t>
        </is>
      </c>
      <c r="E160" s="4" t="inlineStr">
        <is>
          <t>Valor do COFINS</t>
        </is>
      </c>
    </row>
    <row r="161">
      <c r="A161" s="4" t="inlineStr">
        <is>
          <t>06.06</t>
        </is>
      </c>
      <c r="B161" s="5" t="inlineStr">
        <is>
          <t>59</t>
        </is>
      </c>
      <c r="C161" s="5" t="inlineStr">
        <is>
          <t>550</t>
        </is>
      </c>
      <c r="D161" s="4" t="inlineStr">
        <is>
          <t>X(492)</t>
        </is>
      </c>
      <c r="E161" s="4" t="inlineStr">
        <is>
          <t>Filler</t>
        </is>
      </c>
    </row>
    <row r="162"/>
    <row r="163" ht="25" customHeight="1">
      <c r="A163" s="3" t="inlineStr">
        <is>
          <t>REG 07 - Códigos Oferta</t>
        </is>
      </c>
      <c r="B163" s="6" t="n"/>
      <c r="C163" s="6" t="n"/>
      <c r="D163" s="6" t="n"/>
      <c r="E163" s="7" t="n"/>
    </row>
    <row r="164">
      <c r="A164" s="4" t="inlineStr">
        <is>
          <t>07.01</t>
        </is>
      </c>
      <c r="B164" s="5" t="inlineStr">
        <is>
          <t>1</t>
        </is>
      </c>
      <c r="C164" s="5" t="inlineStr">
        <is>
          <t>2</t>
        </is>
      </c>
      <c r="D164" s="4" t="inlineStr">
        <is>
          <t>9(02)</t>
        </is>
      </c>
      <c r="E164" s="4" t="inlineStr">
        <is>
          <t>Tipo de Registro = 07</t>
        </is>
      </c>
    </row>
    <row r="165">
      <c r="A165" s="4" t="inlineStr">
        <is>
          <t>07.02</t>
        </is>
      </c>
      <c r="B165" s="5" t="inlineStr">
        <is>
          <t>3</t>
        </is>
      </c>
      <c r="C165" s="5" t="inlineStr">
        <is>
          <t>12</t>
        </is>
      </c>
      <c r="D165" s="4" t="inlineStr">
        <is>
          <t>9(10)</t>
        </is>
      </c>
      <c r="E165" s="4" t="inlineStr">
        <is>
          <t>Código Oferta</t>
        </is>
      </c>
    </row>
    <row r="166">
      <c r="A166" s="4" t="inlineStr">
        <is>
          <t>07.03</t>
        </is>
      </c>
      <c r="B166" s="5" t="inlineStr">
        <is>
          <t>13</t>
        </is>
      </c>
      <c r="C166" s="5" t="inlineStr">
        <is>
          <t>32</t>
        </is>
      </c>
      <c r="D166" s="4" t="inlineStr">
        <is>
          <t>X(20)</t>
        </is>
      </c>
      <c r="E166" s="4" t="inlineStr">
        <is>
          <t>Descrição Oferta</t>
        </is>
      </c>
    </row>
    <row r="167">
      <c r="A167" s="4" t="inlineStr">
        <is>
          <t>07.04</t>
        </is>
      </c>
      <c r="B167" s="5" t="inlineStr">
        <is>
          <t>33</t>
        </is>
      </c>
      <c r="C167" s="5" t="inlineStr">
        <is>
          <t>550</t>
        </is>
      </c>
      <c r="D167" s="4" t="inlineStr">
        <is>
          <t>X(518)</t>
        </is>
      </c>
      <c r="E167" s="4" t="inlineStr">
        <is>
          <t>Filler</t>
        </is>
      </c>
    </row>
    <row r="168"/>
    <row r="169" ht="25" customHeight="1">
      <c r="A169" s="3" t="inlineStr">
        <is>
          <t>REG 08 - Perfil Consumo</t>
        </is>
      </c>
      <c r="B169" s="6" t="n"/>
      <c r="C169" s="6" t="n"/>
      <c r="D169" s="6" t="n"/>
      <c r="E169" s="7" t="n"/>
    </row>
    <row r="170">
      <c r="A170" s="4" t="inlineStr">
        <is>
          <t>08.01</t>
        </is>
      </c>
      <c r="B170" s="5" t="inlineStr">
        <is>
          <t>1</t>
        </is>
      </c>
      <c r="C170" s="5" t="inlineStr">
        <is>
          <t>2</t>
        </is>
      </c>
      <c r="D170" s="4" t="inlineStr">
        <is>
          <t>9(02)</t>
        </is>
      </c>
      <c r="E170" s="4" t="inlineStr">
        <is>
          <t>Tipo de Registro = 08</t>
        </is>
      </c>
    </row>
    <row r="171">
      <c r="A171" s="4" t="inlineStr">
        <is>
          <t>08.02</t>
        </is>
      </c>
      <c r="B171" s="5" t="inlineStr">
        <is>
          <t>3</t>
        </is>
      </c>
      <c r="C171" s="5" t="inlineStr">
        <is>
          <t>8</t>
        </is>
      </c>
      <c r="D171" s="4" t="inlineStr">
        <is>
          <t>9(6)</t>
        </is>
      </c>
      <c r="E171" s="4" t="inlineStr">
        <is>
          <t>Ano Mês Consumo (AAAAMM)</t>
        </is>
      </c>
    </row>
    <row r="172">
      <c r="A172" s="4" t="inlineStr">
        <is>
          <t>08.03</t>
        </is>
      </c>
      <c r="B172" s="5" t="inlineStr">
        <is>
          <t>9</t>
        </is>
      </c>
      <c r="C172" s="5" t="inlineStr">
        <is>
          <t>10</t>
        </is>
      </c>
      <c r="D172" s="4" t="inlineStr">
        <is>
          <t>X(2)</t>
        </is>
      </c>
      <c r="E172" s="4" t="inlineStr">
        <is>
          <t>Tipo Consumo</t>
        </is>
      </c>
    </row>
    <row r="173">
      <c r="A173" s="4" t="inlineStr">
        <is>
          <t>08.04</t>
        </is>
      </c>
      <c r="B173" s="5" t="inlineStr">
        <is>
          <t>11</t>
        </is>
      </c>
      <c r="C173" s="5" t="inlineStr">
        <is>
          <t>30</t>
        </is>
      </c>
      <c r="D173" s="4" t="inlineStr">
        <is>
          <t>X(20)</t>
        </is>
      </c>
      <c r="E173" s="4" t="inlineStr">
        <is>
          <t>Descrição Tráfego Consumido</t>
        </is>
      </c>
    </row>
    <row r="174">
      <c r="A174" s="4" t="inlineStr">
        <is>
          <t>08.05</t>
        </is>
      </c>
      <c r="B174" s="5" t="inlineStr">
        <is>
          <t>31</t>
        </is>
      </c>
      <c r="C174" s="5" t="inlineStr">
        <is>
          <t>40</t>
        </is>
      </c>
      <c r="D174" s="4" t="inlineStr">
        <is>
          <t>9(9)V9(1)</t>
        </is>
      </c>
      <c r="E174" s="4" t="inlineStr">
        <is>
          <t>Quantidade de minutos Consumidos</t>
        </is>
      </c>
    </row>
    <row r="175">
      <c r="A175" s="4" t="inlineStr">
        <is>
          <t>08.06</t>
        </is>
      </c>
      <c r="B175" s="5" t="inlineStr">
        <is>
          <t>41</t>
        </is>
      </c>
      <c r="C175" s="5" t="inlineStr">
        <is>
          <t>550</t>
        </is>
      </c>
      <c r="D175" s="4" t="inlineStr">
        <is>
          <t>X(510)</t>
        </is>
      </c>
      <c r="E175" s="4" t="inlineStr">
        <is>
          <t>Filler</t>
        </is>
      </c>
    </row>
    <row r="176"/>
    <row r="177" ht="25" customHeight="1">
      <c r="A177" s="3" t="inlineStr">
        <is>
          <t>REG 09 - Msgs Import (Mod22)</t>
        </is>
      </c>
      <c r="B177" s="6" t="n"/>
      <c r="C177" s="6" t="n"/>
      <c r="D177" s="6" t="n"/>
      <c r="E177" s="7" t="n"/>
    </row>
    <row r="178">
      <c r="A178" s="4" t="inlineStr">
        <is>
          <t>09.01</t>
        </is>
      </c>
      <c r="B178" s="5" t="inlineStr">
        <is>
          <t>1</t>
        </is>
      </c>
      <c r="C178" s="5" t="inlineStr">
        <is>
          <t>2</t>
        </is>
      </c>
      <c r="D178" s="4" t="inlineStr">
        <is>
          <t>9(02)</t>
        </is>
      </c>
      <c r="E178" s="4" t="inlineStr">
        <is>
          <t>Tipo de Registro = 09</t>
        </is>
      </c>
    </row>
    <row r="179">
      <c r="A179" s="4" t="inlineStr">
        <is>
          <t>09.02</t>
        </is>
      </c>
      <c r="B179" s="5" t="inlineStr">
        <is>
          <t>3</t>
        </is>
      </c>
      <c r="C179" s="5" t="inlineStr">
        <is>
          <t>3</t>
        </is>
      </c>
      <c r="D179" s="4" t="inlineStr">
        <is>
          <t>X(01)</t>
        </is>
      </c>
      <c r="E179" s="4" t="inlineStr">
        <is>
          <t>Código da Mensagem da CPS/Fatura</t>
        </is>
      </c>
    </row>
    <row r="180">
      <c r="A180" s="4" t="inlineStr">
        <is>
          <t>09.03</t>
        </is>
      </c>
      <c r="B180" s="5" t="inlineStr">
        <is>
          <t>4</t>
        </is>
      </c>
      <c r="C180" s="5" t="inlineStr">
        <is>
          <t>149</t>
        </is>
      </c>
      <c r="D180" s="4" t="inlineStr">
        <is>
          <t>X(146)</t>
        </is>
      </c>
      <c r="E180" s="4" t="inlineStr">
        <is>
          <t>Mensagem da CPS/Fatura</t>
        </is>
      </c>
    </row>
    <row r="181">
      <c r="A181" s="4" t="inlineStr">
        <is>
          <t>09.04</t>
        </is>
      </c>
      <c r="B181" s="5" t="inlineStr">
        <is>
          <t>150</t>
        </is>
      </c>
      <c r="C181" s="5" t="inlineStr">
        <is>
          <t>550</t>
        </is>
      </c>
      <c r="D181" s="4" t="inlineStr">
        <is>
          <t>X(401)</t>
        </is>
      </c>
      <c r="E181" s="4" t="inlineStr">
        <is>
          <t>Filler</t>
        </is>
      </c>
    </row>
    <row r="182"/>
    <row r="183" ht="25" customHeight="1">
      <c r="A183" s="3" t="inlineStr">
        <is>
          <t>REG 10 - Cadastro NF ICMS (Mod22)</t>
        </is>
      </c>
      <c r="B183" s="6" t="n"/>
      <c r="C183" s="6" t="n"/>
      <c r="D183" s="6" t="n"/>
      <c r="E183" s="7" t="n"/>
    </row>
    <row r="184">
      <c r="A184" s="4" t="inlineStr">
        <is>
          <t>10.01</t>
        </is>
      </c>
      <c r="B184" s="5" t="inlineStr">
        <is>
          <t>1</t>
        </is>
      </c>
      <c r="C184" s="5" t="inlineStr">
        <is>
          <t>2</t>
        </is>
      </c>
      <c r="D184" s="4" t="inlineStr">
        <is>
          <t>9(02)</t>
        </is>
      </c>
      <c r="E184" s="4" t="inlineStr">
        <is>
          <t>Tipo de Registro = 10</t>
        </is>
      </c>
    </row>
    <row r="185">
      <c r="A185" s="4" t="inlineStr">
        <is>
          <t>10.02</t>
        </is>
      </c>
      <c r="B185" s="5" t="inlineStr">
        <is>
          <t>3</t>
        </is>
      </c>
      <c r="C185" s="5" t="inlineStr">
        <is>
          <t>17</t>
        </is>
      </c>
      <c r="D185" s="4" t="inlineStr">
        <is>
          <t>9(15)</t>
        </is>
      </c>
      <c r="E185" s="4" t="inlineStr">
        <is>
          <t>Código de Cliente</t>
        </is>
      </c>
    </row>
    <row r="186">
      <c r="A186" s="4" t="inlineStr">
        <is>
          <t>10.03</t>
        </is>
      </c>
      <c r="B186" s="5" t="inlineStr">
        <is>
          <t>18</t>
        </is>
      </c>
      <c r="C186" s="5" t="inlineStr">
        <is>
          <t>29</t>
        </is>
      </c>
      <c r="D186" s="4" t="inlineStr">
        <is>
          <t>9(12)</t>
        </is>
      </c>
      <c r="E186" s="4" t="inlineStr">
        <is>
          <t>Número da CPS/Fatura</t>
        </is>
      </c>
    </row>
    <row r="187">
      <c r="A187" s="4" t="inlineStr">
        <is>
          <t>10.04</t>
        </is>
      </c>
      <c r="B187" s="5" t="inlineStr">
        <is>
          <t>30</t>
        </is>
      </c>
      <c r="C187" s="5" t="inlineStr">
        <is>
          <t>99</t>
        </is>
      </c>
      <c r="D187" s="4" t="inlineStr">
        <is>
          <t>X(70)</t>
        </is>
      </c>
      <c r="E187" s="4" t="inlineStr">
        <is>
          <t>Endereço da Empresa</t>
        </is>
      </c>
    </row>
    <row r="188">
      <c r="A188" s="4" t="inlineStr">
        <is>
          <t>10.05</t>
        </is>
      </c>
      <c r="B188" s="5" t="inlineStr">
        <is>
          <t>100</t>
        </is>
      </c>
      <c r="C188" s="5" t="inlineStr">
        <is>
          <t>107</t>
        </is>
      </c>
      <c r="D188" s="4" t="inlineStr">
        <is>
          <t>9(08)</t>
        </is>
      </c>
      <c r="E188" s="4" t="inlineStr">
        <is>
          <t>Cep  Empresa</t>
        </is>
      </c>
    </row>
    <row r="189">
      <c r="A189" s="4" t="inlineStr">
        <is>
          <t>10.06</t>
        </is>
      </c>
      <c r="B189" s="5" t="inlineStr">
        <is>
          <t>108</t>
        </is>
      </c>
      <c r="C189" s="5" t="inlineStr">
        <is>
          <t>162</t>
        </is>
      </c>
      <c r="D189" s="4" t="inlineStr">
        <is>
          <t>X(55)</t>
        </is>
      </c>
      <c r="E189" s="4" t="inlineStr">
        <is>
          <t>Nome Município Empresa</t>
        </is>
      </c>
    </row>
    <row r="190">
      <c r="A190" s="4" t="inlineStr">
        <is>
          <t>10.07</t>
        </is>
      </c>
      <c r="B190" s="5" t="inlineStr">
        <is>
          <t>163</t>
        </is>
      </c>
      <c r="C190" s="5" t="inlineStr">
        <is>
          <t>176</t>
        </is>
      </c>
      <c r="D190" s="4" t="inlineStr">
        <is>
          <t>X(14)</t>
        </is>
      </c>
      <c r="E190" s="4" t="inlineStr">
        <is>
          <t>CNPJ  da  Empresa</t>
        </is>
      </c>
    </row>
    <row r="191">
      <c r="A191" s="4" t="inlineStr">
        <is>
          <t>10.08</t>
        </is>
      </c>
      <c r="B191" s="5" t="inlineStr">
        <is>
          <t>177</t>
        </is>
      </c>
      <c r="C191" s="5" t="inlineStr">
        <is>
          <t>191</t>
        </is>
      </c>
      <c r="D191" s="4" t="inlineStr">
        <is>
          <t>X(15)</t>
        </is>
      </c>
      <c r="E191" s="4" t="inlineStr">
        <is>
          <t>Inscrição Estadual  Empresa</t>
        </is>
      </c>
    </row>
    <row r="192">
      <c r="A192" s="4" t="inlineStr">
        <is>
          <t>10.09</t>
        </is>
      </c>
      <c r="B192" s="5" t="inlineStr">
        <is>
          <t>192</t>
        </is>
      </c>
      <c r="C192" s="5" t="inlineStr">
        <is>
          <t>248</t>
        </is>
      </c>
      <c r="D192" s="4" t="inlineStr">
        <is>
          <t>X(57)</t>
        </is>
      </c>
      <c r="E192" s="4" t="inlineStr">
        <is>
          <t>Mensagem  Empresa</t>
        </is>
      </c>
    </row>
    <row r="193">
      <c r="A193" s="4" t="inlineStr">
        <is>
          <t>10.10</t>
        </is>
      </c>
      <c r="B193" s="5" t="inlineStr">
        <is>
          <t>249</t>
        </is>
      </c>
      <c r="C193" s="5" t="inlineStr">
        <is>
          <t>250</t>
        </is>
      </c>
      <c r="D193" s="4" t="inlineStr">
        <is>
          <t>X(02)</t>
        </is>
      </c>
      <c r="E193" s="4" t="inlineStr">
        <is>
          <t>Sigla  da  UF  Empresa</t>
        </is>
      </c>
    </row>
    <row r="194">
      <c r="A194" s="4" t="inlineStr">
        <is>
          <t>10.11</t>
        </is>
      </c>
      <c r="B194" s="5" t="inlineStr">
        <is>
          <t>251</t>
        </is>
      </c>
      <c r="C194" s="5" t="inlineStr">
        <is>
          <t>259</t>
        </is>
      </c>
      <c r="D194" s="4" t="inlineStr">
        <is>
          <t>9(09)</t>
        </is>
      </c>
      <c r="E194" s="4" t="inlineStr">
        <is>
          <t>Número da Nota Fiscal</t>
        </is>
      </c>
    </row>
    <row r="195">
      <c r="A195" s="4" t="inlineStr">
        <is>
          <t>10.12</t>
        </is>
      </c>
      <c r="B195" s="5" t="inlineStr">
        <is>
          <t>260</t>
        </is>
      </c>
      <c r="C195" s="5" t="inlineStr">
        <is>
          <t>262</t>
        </is>
      </c>
      <c r="D195" s="4" t="inlineStr">
        <is>
          <t>X(03)</t>
        </is>
      </c>
      <c r="E195" s="4" t="inlineStr">
        <is>
          <t>Série da Nota Fiscal</t>
        </is>
      </c>
    </row>
    <row r="196">
      <c r="A196" s="4" t="inlineStr">
        <is>
          <t>10.13</t>
        </is>
      </c>
      <c r="B196" s="5" t="inlineStr">
        <is>
          <t>263</t>
        </is>
      </c>
      <c r="C196" s="5" t="inlineStr">
        <is>
          <t>268</t>
        </is>
      </c>
      <c r="D196" s="4" t="inlineStr">
        <is>
          <t>9(06)</t>
        </is>
      </c>
      <c r="E196" s="4" t="inlineStr">
        <is>
          <t>Data Emissão da Nota Fiscal (DDMMAA)</t>
        </is>
      </c>
    </row>
    <row r="197">
      <c r="A197" s="4" t="inlineStr">
        <is>
          <t>10.14</t>
        </is>
      </c>
      <c r="B197" s="5" t="inlineStr">
        <is>
          <t>269</t>
        </is>
      </c>
      <c r="C197" s="5" t="inlineStr">
        <is>
          <t>323</t>
        </is>
      </c>
      <c r="D197" s="4" t="inlineStr">
        <is>
          <t>X(55)</t>
        </is>
      </c>
      <c r="E197" s="4" t="inlineStr">
        <is>
          <t>Razão Social do Cliente</t>
        </is>
      </c>
    </row>
    <row r="198">
      <c r="A198" s="4" t="inlineStr">
        <is>
          <t>10.15</t>
        </is>
      </c>
      <c r="B198" s="5" t="inlineStr">
        <is>
          <t>324</t>
        </is>
      </c>
      <c r="C198" s="5" t="inlineStr">
        <is>
          <t>383</t>
        </is>
      </c>
      <c r="D198" s="4" t="inlineStr">
        <is>
          <t>X(60)</t>
        </is>
      </c>
      <c r="E198" s="4" t="inlineStr">
        <is>
          <t>Endereço Fiscal Cliente</t>
        </is>
      </c>
    </row>
    <row r="199">
      <c r="A199" s="4" t="inlineStr">
        <is>
          <t>10.16</t>
        </is>
      </c>
      <c r="B199" s="5" t="inlineStr">
        <is>
          <t>384</t>
        </is>
      </c>
      <c r="C199" s="5" t="inlineStr">
        <is>
          <t>438</t>
        </is>
      </c>
      <c r="D199" s="4" t="inlineStr">
        <is>
          <t>X(55)</t>
        </is>
      </c>
      <c r="E199" s="4" t="inlineStr">
        <is>
          <t>Município Fiscal Cliente</t>
        </is>
      </c>
    </row>
    <row r="200">
      <c r="A200" s="4" t="inlineStr">
        <is>
          <t>10.17</t>
        </is>
      </c>
      <c r="B200" s="5" t="inlineStr">
        <is>
          <t>439</t>
        </is>
      </c>
      <c r="C200" s="5" t="inlineStr">
        <is>
          <t>445</t>
        </is>
      </c>
      <c r="D200" s="4" t="inlineStr">
        <is>
          <t>9(07)</t>
        </is>
      </c>
      <c r="E200" s="4" t="inlineStr">
        <is>
          <t>Cód. Estabelecimento</t>
        </is>
      </c>
    </row>
    <row r="201">
      <c r="A201" s="4" t="inlineStr">
        <is>
          <t>10.18</t>
        </is>
      </c>
      <c r="B201" s="5" t="inlineStr">
        <is>
          <t>446</t>
        </is>
      </c>
      <c r="C201" s="5" t="inlineStr">
        <is>
          <t>459</t>
        </is>
      </c>
      <c r="D201" s="4" t="inlineStr">
        <is>
          <t>X(14)</t>
        </is>
      </c>
      <c r="E201" s="4" t="inlineStr">
        <is>
          <t>CNPJ do Cliente, onde:</t>
        </is>
      </c>
    </row>
    <row r="202">
      <c r="A202" s="4" t="inlineStr">
        <is>
          <t>10.19</t>
        </is>
      </c>
      <c r="B202" s="5" t="inlineStr">
        <is>
          <t>460</t>
        </is>
      </c>
      <c r="C202" s="5" t="inlineStr">
        <is>
          <t>474</t>
        </is>
      </c>
      <c r="D202" s="4" t="inlineStr">
        <is>
          <t>X(15)</t>
        </is>
      </c>
      <c r="E202" s="4" t="inlineStr">
        <is>
          <t>Inscrição Estadual Cliente</t>
        </is>
      </c>
    </row>
    <row r="203">
      <c r="A203" s="4" t="inlineStr">
        <is>
          <t>10.20</t>
        </is>
      </c>
      <c r="B203" s="5" t="inlineStr">
        <is>
          <t>475</t>
        </is>
      </c>
      <c r="C203" s="5" t="inlineStr">
        <is>
          <t>476</t>
        </is>
      </c>
      <c r="D203" s="4" t="inlineStr">
        <is>
          <t>X(02)</t>
        </is>
      </c>
      <c r="E203" s="4" t="inlineStr">
        <is>
          <t>UF  do  Cliente</t>
        </is>
      </c>
    </row>
    <row r="204">
      <c r="A204" s="4" t="inlineStr">
        <is>
          <t>10.21</t>
        </is>
      </c>
      <c r="B204" s="5" t="inlineStr">
        <is>
          <t>477</t>
        </is>
      </c>
      <c r="C204" s="5" t="inlineStr">
        <is>
          <t>536</t>
        </is>
      </c>
      <c r="D204" s="4" t="inlineStr">
        <is>
          <t>X(60)</t>
        </is>
      </c>
      <c r="E204" s="4" t="inlineStr">
        <is>
          <t>Nome  Dependência</t>
        </is>
      </c>
    </row>
    <row r="205">
      <c r="A205" s="4" t="inlineStr">
        <is>
          <t>10.22</t>
        </is>
      </c>
      <c r="B205" s="5" t="inlineStr">
        <is>
          <t>537</t>
        </is>
      </c>
      <c r="C205" s="5" t="inlineStr">
        <is>
          <t>541</t>
        </is>
      </c>
      <c r="D205" s="4" t="inlineStr">
        <is>
          <t>9(05)</t>
        </is>
      </c>
      <c r="E205" s="4" t="inlineStr">
        <is>
          <t>Cód-Centro-Cobrança (não será impresso)</t>
        </is>
      </c>
    </row>
    <row r="206">
      <c r="A206" s="4" t="inlineStr">
        <is>
          <t>10.23</t>
        </is>
      </c>
      <c r="B206" s="5" t="inlineStr">
        <is>
          <t>542</t>
        </is>
      </c>
      <c r="C206" s="5" t="inlineStr">
        <is>
          <t>546</t>
        </is>
      </c>
      <c r="D206" s="4" t="inlineStr">
        <is>
          <t>X(05)</t>
        </is>
      </c>
      <c r="E206" s="4" t="inlineStr">
        <is>
          <t>CFOP</t>
        </is>
      </c>
    </row>
    <row r="207">
      <c r="A207" s="4" t="inlineStr">
        <is>
          <t>10.24</t>
        </is>
      </c>
      <c r="B207" s="5" t="inlineStr">
        <is>
          <t>547</t>
        </is>
      </c>
      <c r="C207" s="5" t="inlineStr">
        <is>
          <t>549</t>
        </is>
      </c>
      <c r="D207" s="4" t="inlineStr">
        <is>
          <t>X(03)</t>
        </is>
      </c>
      <c r="E207" s="4" t="inlineStr">
        <is>
          <t>Código da Empresa – Nota Fiscal ICMS</t>
        </is>
      </c>
    </row>
    <row r="208">
      <c r="A208" s="4" t="inlineStr">
        <is>
          <t>10.25</t>
        </is>
      </c>
      <c r="B208" s="5" t="inlineStr">
        <is>
          <t>550</t>
        </is>
      </c>
      <c r="C208" s="5" t="inlineStr">
        <is>
          <t>550</t>
        </is>
      </c>
      <c r="D208" s="4" t="inlineStr">
        <is>
          <t>X(01)</t>
        </is>
      </c>
      <c r="E208" s="4" t="inlineStr">
        <is>
          <t>Filler</t>
        </is>
      </c>
    </row>
    <row r="209"/>
    <row r="210" ht="25" customHeight="1">
      <c r="A210" s="3" t="inlineStr">
        <is>
          <t>REG 11 - Itens ICMS (Mod22)</t>
        </is>
      </c>
      <c r="B210" s="6" t="n"/>
      <c r="C210" s="6" t="n"/>
      <c r="D210" s="6" t="n"/>
      <c r="E210" s="7" t="n"/>
    </row>
    <row r="211">
      <c r="A211" s="4" t="inlineStr">
        <is>
          <t>11.01</t>
        </is>
      </c>
      <c r="B211" s="5" t="inlineStr">
        <is>
          <t>1</t>
        </is>
      </c>
      <c r="C211" s="5" t="inlineStr">
        <is>
          <t>2</t>
        </is>
      </c>
      <c r="D211" s="4" t="inlineStr">
        <is>
          <t>9(02)</t>
        </is>
      </c>
      <c r="E211" s="4" t="inlineStr">
        <is>
          <t>Tipo de Registro = 11</t>
        </is>
      </c>
    </row>
    <row r="212">
      <c r="A212" s="4" t="inlineStr">
        <is>
          <t>11.02</t>
        </is>
      </c>
      <c r="B212" s="5" t="inlineStr">
        <is>
          <t>3</t>
        </is>
      </c>
      <c r="C212" s="5" t="inlineStr">
        <is>
          <t>52</t>
        </is>
      </c>
      <c r="D212" s="4" t="inlineStr">
        <is>
          <t>X(50)</t>
        </is>
      </c>
      <c r="E212" s="4" t="inlineStr">
        <is>
          <t>Descrição do Serviço</t>
        </is>
      </c>
    </row>
    <row r="213">
      <c r="A213" s="4" t="inlineStr">
        <is>
          <t>11.03</t>
        </is>
      </c>
      <c r="B213" s="5" t="inlineStr">
        <is>
          <t>53</t>
        </is>
      </c>
      <c r="C213" s="5" t="inlineStr">
        <is>
          <t>72</t>
        </is>
      </c>
      <c r="D213" s="4" t="inlineStr">
        <is>
          <t>X(20)</t>
        </is>
      </c>
      <c r="E213" s="4" t="inlineStr">
        <is>
          <t>Descrição Origem</t>
        </is>
      </c>
    </row>
    <row r="214">
      <c r="A214" s="4" t="inlineStr">
        <is>
          <t>11.04</t>
        </is>
      </c>
      <c r="B214" s="5" t="inlineStr">
        <is>
          <t>73</t>
        </is>
      </c>
      <c r="C214" s="5" t="inlineStr">
        <is>
          <t>77</t>
        </is>
      </c>
      <c r="D214" s="4" t="inlineStr">
        <is>
          <t>9(3)V99</t>
        </is>
      </c>
      <c r="E214" s="4" t="inlineStr">
        <is>
          <t>Alíquota</t>
        </is>
      </c>
    </row>
    <row r="215">
      <c r="A215" s="4" t="inlineStr">
        <is>
          <t>11.05</t>
        </is>
      </c>
      <c r="B215" s="5" t="inlineStr">
        <is>
          <t>78</t>
        </is>
      </c>
      <c r="C215" s="5" t="inlineStr">
        <is>
          <t>78</t>
        </is>
      </c>
      <c r="D215" s="4" t="inlineStr">
        <is>
          <t>X(01)</t>
        </is>
      </c>
      <c r="E215" s="4">
        <f> C, Quando  o  valor for negativo</f>
        <v/>
      </c>
    </row>
    <row r="216">
      <c r="A216" s="4" t="inlineStr">
        <is>
          <t>11.06</t>
        </is>
      </c>
      <c r="B216" s="5" t="inlineStr">
        <is>
          <t>79</t>
        </is>
      </c>
      <c r="C216" s="5" t="inlineStr">
        <is>
          <t>93</t>
        </is>
      </c>
      <c r="D216" s="4" t="inlineStr">
        <is>
          <t>9(13)V99</t>
        </is>
      </c>
      <c r="E216" s="4" t="inlineStr">
        <is>
          <t>Valor  do  Item</t>
        </is>
      </c>
    </row>
    <row r="217">
      <c r="A217" s="4" t="inlineStr">
        <is>
          <t>11.07</t>
        </is>
      </c>
      <c r="B217" s="5" t="inlineStr">
        <is>
          <t>94</t>
        </is>
      </c>
      <c r="C217" s="5" t="inlineStr">
        <is>
          <t>98</t>
        </is>
      </c>
      <c r="D217" s="4" t="inlineStr">
        <is>
          <t>9(05)</t>
        </is>
      </c>
      <c r="E217" s="4" t="inlineStr">
        <is>
          <t>Código nacional de Localidade (CNL)</t>
        </is>
      </c>
    </row>
    <row r="218">
      <c r="A218" s="4" t="inlineStr">
        <is>
          <t>11.08</t>
        </is>
      </c>
      <c r="B218" s="5" t="inlineStr">
        <is>
          <t>99</t>
        </is>
      </c>
      <c r="C218" s="5" t="inlineStr">
        <is>
          <t>128</t>
        </is>
      </c>
      <c r="D218" s="4" t="inlineStr">
        <is>
          <t>X(30)</t>
        </is>
      </c>
      <c r="E218" s="4" t="inlineStr">
        <is>
          <t>Número contrato de vendas</t>
        </is>
      </c>
    </row>
    <row r="219">
      <c r="A219" s="4" t="inlineStr">
        <is>
          <t>11.09</t>
        </is>
      </c>
      <c r="B219" s="5" t="inlineStr">
        <is>
          <t>129</t>
        </is>
      </c>
      <c r="C219" s="5" t="inlineStr">
        <is>
          <t>143</t>
        </is>
      </c>
      <c r="D219" s="4" t="inlineStr">
        <is>
          <t>9(13)V99</t>
        </is>
      </c>
      <c r="E219" s="4" t="inlineStr">
        <is>
          <t>Valor do Imposto</t>
        </is>
      </c>
    </row>
    <row r="220">
      <c r="A220" s="4" t="inlineStr">
        <is>
          <t>11.10</t>
        </is>
      </c>
      <c r="B220" s="5" t="inlineStr">
        <is>
          <t>144</t>
        </is>
      </c>
      <c r="C220" s="5" t="inlineStr">
        <is>
          <t>158</t>
        </is>
      </c>
      <c r="D220" s="4" t="inlineStr">
        <is>
          <t>9(13)V99</t>
        </is>
      </c>
      <c r="E220" s="4" t="inlineStr">
        <is>
          <t>Valor do PIS</t>
        </is>
      </c>
    </row>
    <row r="221">
      <c r="A221" s="4" t="inlineStr">
        <is>
          <t>11.11</t>
        </is>
      </c>
      <c r="B221" s="5" t="inlineStr">
        <is>
          <t>159</t>
        </is>
      </c>
      <c r="C221" s="5" t="inlineStr">
        <is>
          <t>173</t>
        </is>
      </c>
      <c r="D221" s="4" t="inlineStr">
        <is>
          <t>9(13)V99</t>
        </is>
      </c>
      <c r="E221" s="4" t="inlineStr">
        <is>
          <t>Valor do COFINS</t>
        </is>
      </c>
    </row>
    <row r="222">
      <c r="A222" s="4" t="inlineStr">
        <is>
          <t>11.12</t>
        </is>
      </c>
      <c r="B222" s="5" t="inlineStr">
        <is>
          <t>174</t>
        </is>
      </c>
      <c r="C222" s="5" t="inlineStr">
        <is>
          <t>550</t>
        </is>
      </c>
      <c r="D222" s="4" t="inlineStr">
        <is>
          <t>X(377)</t>
        </is>
      </c>
      <c r="E222" s="4" t="inlineStr">
        <is>
          <t>Filler</t>
        </is>
      </c>
    </row>
    <row r="223"/>
    <row r="224" ht="25" customHeight="1">
      <c r="A224" s="3" t="inlineStr">
        <is>
          <t>REG 12 - Base Cálc (Mod22)</t>
        </is>
      </c>
      <c r="B224" s="6" t="n"/>
      <c r="C224" s="6" t="n"/>
      <c r="D224" s="6" t="n"/>
      <c r="E224" s="7" t="n"/>
    </row>
    <row r="225">
      <c r="A225" s="4" t="inlineStr">
        <is>
          <t>12.01</t>
        </is>
      </c>
      <c r="B225" s="5" t="inlineStr">
        <is>
          <t>1</t>
        </is>
      </c>
      <c r="C225" s="5" t="inlineStr">
        <is>
          <t>2</t>
        </is>
      </c>
      <c r="D225" s="4" t="inlineStr">
        <is>
          <t>9(02)</t>
        </is>
      </c>
      <c r="E225" s="4" t="inlineStr">
        <is>
          <t>Tipo de Registro = 12</t>
        </is>
      </c>
    </row>
    <row r="226">
      <c r="A226" s="4" t="inlineStr">
        <is>
          <t>12.02</t>
        </is>
      </c>
      <c r="B226" s="5" t="inlineStr">
        <is>
          <t>3</t>
        </is>
      </c>
      <c r="C226" s="5" t="inlineStr">
        <is>
          <t>3</t>
        </is>
      </c>
      <c r="D226" s="4" t="inlineStr">
        <is>
          <t>X(01)</t>
        </is>
      </c>
      <c r="E226" s="4">
        <f> C, Quando  o  valor for negativo</f>
        <v/>
      </c>
    </row>
    <row r="227">
      <c r="A227" s="4" t="inlineStr">
        <is>
          <t>12.03</t>
        </is>
      </c>
      <c r="B227" s="5" t="inlineStr">
        <is>
          <t>4</t>
        </is>
      </c>
      <c r="C227" s="5" t="inlineStr">
        <is>
          <t>18</t>
        </is>
      </c>
      <c r="D227" s="4" t="inlineStr">
        <is>
          <t>9(13)V99</t>
        </is>
      </c>
      <c r="E227" s="4" t="inlineStr">
        <is>
          <t>Valor  Total</t>
        </is>
      </c>
    </row>
    <row r="228">
      <c r="A228" s="4" t="inlineStr">
        <is>
          <t>12.04</t>
        </is>
      </c>
      <c r="B228" s="5" t="inlineStr">
        <is>
          <t>19</t>
        </is>
      </c>
      <c r="C228" s="5" t="inlineStr">
        <is>
          <t>19</t>
        </is>
      </c>
      <c r="D228" s="4" t="inlineStr">
        <is>
          <t>X(01)</t>
        </is>
      </c>
      <c r="E228" s="4">
        <f> C, Quando  o  valor for negativo</f>
        <v/>
      </c>
    </row>
    <row r="229">
      <c r="A229" s="4" t="inlineStr">
        <is>
          <t>12.05</t>
        </is>
      </c>
      <c r="B229" s="5" t="inlineStr">
        <is>
          <t>20</t>
        </is>
      </c>
      <c r="C229" s="5" t="inlineStr">
        <is>
          <t>33</t>
        </is>
      </c>
      <c r="D229" s="4" t="inlineStr">
        <is>
          <t>9(12)V99</t>
        </is>
      </c>
      <c r="E229" s="4" t="inlineStr">
        <is>
          <t>Valor da Base de Cálculo</t>
        </is>
      </c>
    </row>
    <row r="230">
      <c r="A230" s="4" t="inlineStr">
        <is>
          <t>12.06</t>
        </is>
      </c>
      <c r="B230" s="5" t="inlineStr">
        <is>
          <t>34</t>
        </is>
      </c>
      <c r="C230" s="5" t="inlineStr">
        <is>
          <t>37</t>
        </is>
      </c>
      <c r="D230" s="4" t="inlineStr">
        <is>
          <t>X(04)</t>
        </is>
      </c>
      <c r="E230" s="4" t="inlineStr">
        <is>
          <t>Asterisco Alíquota,</t>
        </is>
      </c>
    </row>
    <row r="231">
      <c r="A231" s="4" t="inlineStr">
        <is>
          <t>12.07</t>
        </is>
      </c>
      <c r="B231" s="5" t="inlineStr">
        <is>
          <t>38</t>
        </is>
      </c>
      <c r="C231" s="5" t="inlineStr">
        <is>
          <t>42</t>
        </is>
      </c>
      <c r="D231" s="4" t="inlineStr">
        <is>
          <t>9(03)V99</t>
        </is>
      </c>
      <c r="E231" s="4" t="inlineStr">
        <is>
          <t>Alíquota</t>
        </is>
      </c>
    </row>
    <row r="232">
      <c r="A232" s="4" t="inlineStr">
        <is>
          <t>12.08</t>
        </is>
      </c>
      <c r="B232" s="5" t="inlineStr">
        <is>
          <t>43</t>
        </is>
      </c>
      <c r="C232" s="5" t="inlineStr">
        <is>
          <t>43</t>
        </is>
      </c>
      <c r="D232" s="4" t="inlineStr">
        <is>
          <t>X(01)</t>
        </is>
      </c>
      <c r="E232" s="4">
        <f> C, Quando  o  valor for negativo</f>
        <v/>
      </c>
    </row>
    <row r="233">
      <c r="A233" s="4" t="inlineStr">
        <is>
          <t>12.09</t>
        </is>
      </c>
      <c r="B233" s="5" t="inlineStr">
        <is>
          <t>44</t>
        </is>
      </c>
      <c r="C233" s="5" t="inlineStr">
        <is>
          <t>57</t>
        </is>
      </c>
      <c r="D233" s="4" t="inlineStr">
        <is>
          <t>9(12)V99</t>
        </is>
      </c>
      <c r="E233" s="4" t="inlineStr">
        <is>
          <t>Valor  do  Imposto (ICMS)</t>
        </is>
      </c>
    </row>
    <row r="234">
      <c r="A234" s="4" t="inlineStr">
        <is>
          <t>12.10</t>
        </is>
      </c>
      <c r="B234" s="5" t="inlineStr">
        <is>
          <t>58</t>
        </is>
      </c>
      <c r="C234" s="5" t="inlineStr">
        <is>
          <t>58</t>
        </is>
      </c>
      <c r="D234" s="4" t="inlineStr">
        <is>
          <t>X(01)</t>
        </is>
      </c>
      <c r="E234" s="4">
        <f> C, Quando  o  valor for negativo</f>
        <v/>
      </c>
    </row>
    <row r="235">
      <c r="A235" s="4" t="inlineStr">
        <is>
          <t>12.11</t>
        </is>
      </c>
      <c r="B235" s="5" t="inlineStr">
        <is>
          <t>59</t>
        </is>
      </c>
      <c r="C235" s="5" t="inlineStr">
        <is>
          <t>72</t>
        </is>
      </c>
      <c r="D235" s="4" t="inlineStr">
        <is>
          <t>9(12)V99</t>
        </is>
      </c>
      <c r="E235" s="4" t="inlineStr">
        <is>
          <t>Valor  Isentos</t>
        </is>
      </c>
    </row>
    <row r="236">
      <c r="A236" s="4" t="inlineStr">
        <is>
          <t>12.12</t>
        </is>
      </c>
      <c r="B236" s="5" t="inlineStr">
        <is>
          <t>73</t>
        </is>
      </c>
      <c r="C236" s="5" t="inlineStr">
        <is>
          <t>73</t>
        </is>
      </c>
      <c r="D236" s="4" t="inlineStr">
        <is>
          <t>X(01)</t>
        </is>
      </c>
      <c r="E236" s="4">
        <f> C, Quando  o  valor for negativo</f>
        <v/>
      </c>
    </row>
    <row r="237">
      <c r="A237" s="4" t="inlineStr">
        <is>
          <t>12.13</t>
        </is>
      </c>
      <c r="B237" s="5" t="inlineStr">
        <is>
          <t>74</t>
        </is>
      </c>
      <c r="C237" s="5" t="inlineStr">
        <is>
          <t>87</t>
        </is>
      </c>
      <c r="D237" s="4" t="inlineStr">
        <is>
          <t>9(12)V99</t>
        </is>
      </c>
      <c r="E237" s="4" t="inlineStr">
        <is>
          <t>Valor  Outros</t>
        </is>
      </c>
    </row>
    <row r="238">
      <c r="A238" s="4" t="inlineStr">
        <is>
          <t>12.14</t>
        </is>
      </c>
      <c r="B238" s="5" t="inlineStr">
        <is>
          <t>88</t>
        </is>
      </c>
      <c r="C238" s="5" t="inlineStr">
        <is>
          <t>550</t>
        </is>
      </c>
      <c r="D238" s="4" t="inlineStr">
        <is>
          <t>X(463)</t>
        </is>
      </c>
      <c r="E238" s="4" t="inlineStr">
        <is>
          <t>Filler</t>
        </is>
      </c>
    </row>
    <row r="239"/>
    <row r="240" ht="25" customHeight="1">
      <c r="A240" s="3" t="inlineStr">
        <is>
          <t>REG 13 - Somatórios ICMS (Mod22)</t>
        </is>
      </c>
      <c r="B240" s="6" t="n"/>
      <c r="C240" s="6" t="n"/>
      <c r="D240" s="6" t="n"/>
      <c r="E240" s="7" t="n"/>
    </row>
    <row r="241">
      <c r="A241" s="4" t="inlineStr">
        <is>
          <t>13.01</t>
        </is>
      </c>
      <c r="B241" s="5" t="inlineStr">
        <is>
          <t>1</t>
        </is>
      </c>
      <c r="C241" s="5" t="inlineStr">
        <is>
          <t>2</t>
        </is>
      </c>
      <c r="D241" s="4" t="inlineStr">
        <is>
          <t>9(02)</t>
        </is>
      </c>
      <c r="E241" s="4" t="inlineStr">
        <is>
          <t>Tipo de Registro = 13</t>
        </is>
      </c>
    </row>
    <row r="242">
      <c r="A242" s="4" t="inlineStr">
        <is>
          <t>13.02</t>
        </is>
      </c>
      <c r="B242" s="5" t="inlineStr">
        <is>
          <t>3</t>
        </is>
      </c>
      <c r="C242" s="5" t="inlineStr">
        <is>
          <t>3</t>
        </is>
      </c>
      <c r="D242" s="4" t="inlineStr">
        <is>
          <t>X(01)</t>
        </is>
      </c>
      <c r="E242" s="4">
        <f> C, Quando  o  valor for negativo</f>
        <v/>
      </c>
    </row>
    <row r="243">
      <c r="A243" s="4" t="inlineStr">
        <is>
          <t>13.03</t>
        </is>
      </c>
      <c r="B243" s="5" t="inlineStr">
        <is>
          <t>4</t>
        </is>
      </c>
      <c r="C243" s="5" t="inlineStr">
        <is>
          <t>18</t>
        </is>
      </c>
      <c r="D243" s="4" t="inlineStr">
        <is>
          <t>9(13)V99</t>
        </is>
      </c>
      <c r="E243" s="4" t="inlineStr">
        <is>
          <t>Somatório Valor Total</t>
        </is>
      </c>
    </row>
    <row r="244">
      <c r="A244" s="4" t="inlineStr">
        <is>
          <t>13.04</t>
        </is>
      </c>
      <c r="B244" s="5" t="inlineStr">
        <is>
          <t>19</t>
        </is>
      </c>
      <c r="C244" s="5" t="inlineStr">
        <is>
          <t>19</t>
        </is>
      </c>
      <c r="D244" s="4" t="inlineStr">
        <is>
          <t>X(01)</t>
        </is>
      </c>
      <c r="E244" s="4">
        <f> C, Quando  o  valor for negativo</f>
        <v/>
      </c>
    </row>
    <row r="245">
      <c r="A245" s="4" t="inlineStr">
        <is>
          <t>13.05</t>
        </is>
      </c>
      <c r="B245" s="5" t="inlineStr">
        <is>
          <t>20</t>
        </is>
      </c>
      <c r="C245" s="5" t="inlineStr">
        <is>
          <t>33</t>
        </is>
      </c>
      <c r="D245" s="4" t="inlineStr">
        <is>
          <t>9(12)V99</t>
        </is>
      </c>
      <c r="E245" s="4" t="inlineStr">
        <is>
          <t>Somatório</t>
        </is>
      </c>
    </row>
    <row r="246">
      <c r="A246" s="4" t="inlineStr">
        <is>
          <t>13.06</t>
        </is>
      </c>
      <c r="B246" s="5" t="inlineStr">
        <is>
          <t>34</t>
        </is>
      </c>
      <c r="C246" s="5" t="inlineStr">
        <is>
          <t>34</t>
        </is>
      </c>
      <c r="D246" s="4" t="inlineStr">
        <is>
          <t>X(01)</t>
        </is>
      </c>
      <c r="E246" s="4">
        <f> C, Quando  o  valor for negativo</f>
        <v/>
      </c>
    </row>
    <row r="247">
      <c r="A247" s="4" t="inlineStr">
        <is>
          <t>13.07</t>
        </is>
      </c>
      <c r="B247" s="5" t="inlineStr">
        <is>
          <t>35</t>
        </is>
      </c>
      <c r="C247" s="5" t="inlineStr">
        <is>
          <t>48</t>
        </is>
      </c>
      <c r="D247" s="4" t="inlineStr">
        <is>
          <t>9(12)V99</t>
        </is>
      </c>
      <c r="E247" s="4" t="inlineStr">
        <is>
          <t>Somatório Valor de Imposto</t>
        </is>
      </c>
    </row>
    <row r="248">
      <c r="A248" s="4" t="inlineStr">
        <is>
          <t>13.08</t>
        </is>
      </c>
      <c r="B248" s="5" t="inlineStr">
        <is>
          <t>49</t>
        </is>
      </c>
      <c r="C248" s="5" t="inlineStr">
        <is>
          <t>49</t>
        </is>
      </c>
      <c r="D248" s="4" t="inlineStr">
        <is>
          <t>X(01)</t>
        </is>
      </c>
      <c r="E248" s="4">
        <f> C, Quando  o  valor for negativo</f>
        <v/>
      </c>
    </row>
    <row r="249">
      <c r="A249" s="4" t="inlineStr">
        <is>
          <t>13.09</t>
        </is>
      </c>
      <c r="B249" s="5" t="inlineStr">
        <is>
          <t>50</t>
        </is>
      </c>
      <c r="C249" s="5" t="inlineStr">
        <is>
          <t>63</t>
        </is>
      </c>
      <c r="D249" s="4" t="inlineStr">
        <is>
          <t>9(12)V99</t>
        </is>
      </c>
      <c r="E249" s="4" t="inlineStr">
        <is>
          <t>Somatório Valor Isentos</t>
        </is>
      </c>
    </row>
    <row r="250">
      <c r="A250" s="4" t="inlineStr">
        <is>
          <t>13.10</t>
        </is>
      </c>
      <c r="B250" s="5" t="inlineStr">
        <is>
          <t>64</t>
        </is>
      </c>
      <c r="C250" s="5" t="inlineStr">
        <is>
          <t>64</t>
        </is>
      </c>
      <c r="D250" s="4" t="inlineStr">
        <is>
          <t>X(01)</t>
        </is>
      </c>
      <c r="E250" s="4">
        <f> C, Quando  o  valor for negativo</f>
        <v/>
      </c>
    </row>
    <row r="251">
      <c r="A251" s="4" t="inlineStr">
        <is>
          <t>13.11</t>
        </is>
      </c>
      <c r="B251" s="5" t="inlineStr">
        <is>
          <t>65</t>
        </is>
      </c>
      <c r="C251" s="5" t="inlineStr">
        <is>
          <t>78</t>
        </is>
      </c>
      <c r="D251" s="4" t="inlineStr">
        <is>
          <t>9(12)V99</t>
        </is>
      </c>
      <c r="E251" s="4" t="inlineStr">
        <is>
          <t>Somatório Valor Outros</t>
        </is>
      </c>
    </row>
    <row r="252">
      <c r="A252" s="4" t="inlineStr">
        <is>
          <t>13.12</t>
        </is>
      </c>
      <c r="B252" s="5" t="inlineStr">
        <is>
          <t>79</t>
        </is>
      </c>
      <c r="C252" s="5" t="inlineStr">
        <is>
          <t>197</t>
        </is>
      </c>
      <c r="D252" s="4" t="inlineStr">
        <is>
          <t>X(119)</t>
        </is>
      </c>
      <c r="E252" s="4" t="inlineStr">
        <is>
          <t>Mensagem Rodapé (redução de base de cálculo), caso não exista será igual a branco</t>
        </is>
      </c>
    </row>
    <row r="253">
      <c r="A253" s="4" t="inlineStr">
        <is>
          <t>13.13</t>
        </is>
      </c>
      <c r="B253" s="5" t="inlineStr">
        <is>
          <t>198</t>
        </is>
      </c>
      <c r="C253" s="5" t="inlineStr">
        <is>
          <t>316</t>
        </is>
      </c>
      <c r="D253" s="4" t="inlineStr">
        <is>
          <t>X(119)</t>
        </is>
      </c>
      <c r="E253" s="4" t="inlineStr">
        <is>
          <t>Idem</t>
        </is>
      </c>
    </row>
    <row r="254">
      <c r="A254" s="4" t="inlineStr">
        <is>
          <t>13.14</t>
        </is>
      </c>
      <c r="B254" s="5" t="inlineStr">
        <is>
          <t>317</t>
        </is>
      </c>
      <c r="C254" s="5" t="inlineStr">
        <is>
          <t>435</t>
        </is>
      </c>
      <c r="D254" s="4" t="inlineStr">
        <is>
          <t>X(119)</t>
        </is>
      </c>
      <c r="E254" s="4" t="inlineStr">
        <is>
          <t>Idem</t>
        </is>
      </c>
    </row>
    <row r="255">
      <c r="A255" s="4" t="inlineStr">
        <is>
          <t>13.15</t>
        </is>
      </c>
      <c r="B255" s="5" t="inlineStr">
        <is>
          <t>436</t>
        </is>
      </c>
      <c r="C255" s="5" t="inlineStr">
        <is>
          <t>474</t>
        </is>
      </c>
      <c r="D255" s="4" t="inlineStr">
        <is>
          <t>X(39)</t>
        </is>
      </c>
      <c r="E255" s="4" t="inlineStr">
        <is>
          <t>Hash-Code editado</t>
        </is>
      </c>
    </row>
    <row r="256">
      <c r="A256" s="4" t="inlineStr">
        <is>
          <t>13.16</t>
        </is>
      </c>
      <c r="B256" s="5" t="inlineStr">
        <is>
          <t>475</t>
        </is>
      </c>
      <c r="C256" s="5" t="inlineStr">
        <is>
          <t>550</t>
        </is>
      </c>
      <c r="D256" s="4" t="inlineStr">
        <is>
          <t>X(76)</t>
        </is>
      </c>
      <c r="E256" s="4" t="inlineStr">
        <is>
          <t>Filler</t>
        </is>
      </c>
    </row>
    <row r="257"/>
    <row r="258" ht="25" customHeight="1">
      <c r="A258" s="3" t="inlineStr">
        <is>
          <t>REG 14 - Msgs NF ICMS (Mod22)</t>
        </is>
      </c>
      <c r="B258" s="6" t="n"/>
      <c r="C258" s="6" t="n"/>
      <c r="D258" s="6" t="n"/>
      <c r="E258" s="7" t="n"/>
    </row>
    <row r="259">
      <c r="A259" s="4" t="inlineStr">
        <is>
          <t>14.01</t>
        </is>
      </c>
      <c r="B259" s="5" t="inlineStr">
        <is>
          <t>1</t>
        </is>
      </c>
      <c r="C259" s="5" t="inlineStr">
        <is>
          <t>2</t>
        </is>
      </c>
      <c r="D259" s="4" t="inlineStr">
        <is>
          <t>9(02)</t>
        </is>
      </c>
      <c r="E259" s="4" t="inlineStr">
        <is>
          <t>Tipo de Registro = 14</t>
        </is>
      </c>
    </row>
    <row r="260">
      <c r="A260" s="4" t="inlineStr">
        <is>
          <t>14.02</t>
        </is>
      </c>
      <c r="B260" s="5" t="inlineStr">
        <is>
          <t>3</t>
        </is>
      </c>
      <c r="C260" s="5" t="inlineStr">
        <is>
          <t>123</t>
        </is>
      </c>
      <c r="D260" s="4" t="inlineStr">
        <is>
          <t>X(121)</t>
        </is>
      </c>
      <c r="E260" s="4" t="inlineStr">
        <is>
          <t>Mensagem da Nota Fiscal</t>
        </is>
      </c>
    </row>
    <row r="261">
      <c r="A261" s="4" t="inlineStr">
        <is>
          <t>14.03</t>
        </is>
      </c>
      <c r="B261" s="5" t="inlineStr">
        <is>
          <t>124</t>
        </is>
      </c>
      <c r="C261" s="5" t="inlineStr">
        <is>
          <t>550</t>
        </is>
      </c>
      <c r="D261" s="4" t="inlineStr">
        <is>
          <t>X(427)</t>
        </is>
      </c>
      <c r="E261" s="4" t="inlineStr">
        <is>
          <t>Filler</t>
        </is>
      </c>
    </row>
    <row r="262"/>
    <row r="263" ht="25" customHeight="1">
      <c r="A263" s="3" t="inlineStr">
        <is>
          <t>REG 15 - Cad Oper ICMS (Mod22)</t>
        </is>
      </c>
      <c r="B263" s="6" t="n"/>
      <c r="C263" s="6" t="n"/>
      <c r="D263" s="6" t="n"/>
      <c r="E263" s="7" t="n"/>
    </row>
    <row r="264">
      <c r="A264" s="4" t="inlineStr">
        <is>
          <t>15.01</t>
        </is>
      </c>
      <c r="B264" s="5" t="inlineStr">
        <is>
          <t>1</t>
        </is>
      </c>
      <c r="C264" s="5" t="inlineStr">
        <is>
          <t>2</t>
        </is>
      </c>
      <c r="D264" s="4" t="inlineStr">
        <is>
          <t>9(02)</t>
        </is>
      </c>
      <c r="E264" s="4" t="inlineStr">
        <is>
          <t>Tipo de Registro = 15</t>
        </is>
      </c>
    </row>
    <row r="265">
      <c r="A265" s="4" t="inlineStr">
        <is>
          <t>15.02</t>
        </is>
      </c>
      <c r="B265" s="5" t="inlineStr">
        <is>
          <t>3</t>
        </is>
      </c>
      <c r="C265" s="5" t="inlineStr">
        <is>
          <t>17</t>
        </is>
      </c>
      <c r="D265" s="4" t="inlineStr">
        <is>
          <t>9(15)</t>
        </is>
      </c>
      <c r="E265" s="4" t="inlineStr">
        <is>
          <t>Código de Cliente</t>
        </is>
      </c>
    </row>
    <row r="266">
      <c r="A266" s="4" t="inlineStr">
        <is>
          <t>15.03</t>
        </is>
      </c>
      <c r="B266" s="5" t="inlineStr">
        <is>
          <t>18</t>
        </is>
      </c>
      <c r="C266" s="5" t="inlineStr">
        <is>
          <t>29</t>
        </is>
      </c>
      <c r="D266" s="4" t="inlineStr">
        <is>
          <t>9(12)</t>
        </is>
      </c>
      <c r="E266" s="4" t="inlineStr">
        <is>
          <t>Número da CPS/Fatura</t>
        </is>
      </c>
    </row>
    <row r="267">
      <c r="A267" s="4" t="inlineStr">
        <is>
          <t>15.04</t>
        </is>
      </c>
      <c r="B267" s="5" t="inlineStr">
        <is>
          <t>30</t>
        </is>
      </c>
      <c r="C267" s="5" t="inlineStr">
        <is>
          <t>99</t>
        </is>
      </c>
      <c r="D267" s="4" t="inlineStr">
        <is>
          <t>X(70)</t>
        </is>
      </c>
      <c r="E267" s="4" t="inlineStr">
        <is>
          <t>Endereço da Embratel</t>
        </is>
      </c>
    </row>
    <row r="268">
      <c r="A268" s="4" t="inlineStr">
        <is>
          <t>15.05</t>
        </is>
      </c>
      <c r="B268" s="5" t="inlineStr">
        <is>
          <t>100</t>
        </is>
      </c>
      <c r="C268" s="5" t="inlineStr">
        <is>
          <t>107</t>
        </is>
      </c>
      <c r="D268" s="4" t="inlineStr">
        <is>
          <t>9(08)</t>
        </is>
      </c>
      <c r="E268" s="4" t="inlineStr">
        <is>
          <t>Cep  Embratel</t>
        </is>
      </c>
    </row>
    <row r="269">
      <c r="A269" s="4" t="inlineStr">
        <is>
          <t>15.06</t>
        </is>
      </c>
      <c r="B269" s="5" t="inlineStr">
        <is>
          <t>108</t>
        </is>
      </c>
      <c r="C269" s="5" t="inlineStr">
        <is>
          <t>162</t>
        </is>
      </c>
      <c r="D269" s="4" t="inlineStr">
        <is>
          <t>X(55)</t>
        </is>
      </c>
      <c r="E269" s="4" t="inlineStr">
        <is>
          <t>Nome Município  Embratel</t>
        </is>
      </c>
    </row>
    <row r="270">
      <c r="A270" s="4" t="inlineStr">
        <is>
          <t>15.07</t>
        </is>
      </c>
      <c r="B270" s="5" t="inlineStr">
        <is>
          <t>163</t>
        </is>
      </c>
      <c r="C270" s="5" t="inlineStr">
        <is>
          <t>176</t>
        </is>
      </c>
      <c r="D270" s="4" t="inlineStr">
        <is>
          <t>X(14)</t>
        </is>
      </c>
      <c r="E270" s="4" t="inlineStr">
        <is>
          <t>CNPJ  da  Embratel</t>
        </is>
      </c>
    </row>
    <row r="271">
      <c r="A271" s="4" t="inlineStr">
        <is>
          <t>15.08</t>
        </is>
      </c>
      <c r="B271" s="5" t="inlineStr">
        <is>
          <t>177</t>
        </is>
      </c>
      <c r="C271" s="5" t="inlineStr">
        <is>
          <t>191</t>
        </is>
      </c>
      <c r="D271" s="4" t="inlineStr">
        <is>
          <t>X(15)</t>
        </is>
      </c>
      <c r="E271" s="4" t="inlineStr">
        <is>
          <t>Inscrição Estadual  Embratel</t>
        </is>
      </c>
    </row>
    <row r="272">
      <c r="A272" s="4" t="inlineStr">
        <is>
          <t>15.09</t>
        </is>
      </c>
      <c r="B272" s="5" t="inlineStr">
        <is>
          <t>192</t>
        </is>
      </c>
      <c r="C272" s="5" t="inlineStr">
        <is>
          <t>193</t>
        </is>
      </c>
      <c r="D272" s="4" t="inlineStr">
        <is>
          <t>X(02)</t>
        </is>
      </c>
      <c r="E272" s="4" t="inlineStr">
        <is>
          <t>Sigla  da  UF  Embratel</t>
        </is>
      </c>
    </row>
    <row r="273">
      <c r="A273" s="4" t="inlineStr">
        <is>
          <t>15.10</t>
        </is>
      </c>
      <c r="B273" s="5" t="inlineStr">
        <is>
          <t>194</t>
        </is>
      </c>
      <c r="C273" s="5" t="inlineStr">
        <is>
          <t>199</t>
        </is>
      </c>
      <c r="D273" s="4" t="inlineStr">
        <is>
          <t>9(06)</t>
        </is>
      </c>
      <c r="E273" s="4" t="inlineStr">
        <is>
          <t>Data Emissão da Nota Fiscal (DDMMAA)</t>
        </is>
      </c>
    </row>
    <row r="274">
      <c r="A274" s="4" t="inlineStr">
        <is>
          <t>15.11</t>
        </is>
      </c>
      <c r="B274" s="5" t="inlineStr">
        <is>
          <t>200</t>
        </is>
      </c>
      <c r="C274" s="5" t="inlineStr">
        <is>
          <t>254</t>
        </is>
      </c>
      <c r="D274" s="4" t="inlineStr">
        <is>
          <t>X(55)</t>
        </is>
      </c>
      <c r="E274" s="4" t="inlineStr">
        <is>
          <t>Razão Social do Cliente</t>
        </is>
      </c>
    </row>
    <row r="275">
      <c r="A275" s="4" t="inlineStr">
        <is>
          <t>15.12</t>
        </is>
      </c>
      <c r="B275" s="5" t="inlineStr">
        <is>
          <t>255</t>
        </is>
      </c>
      <c r="C275" s="5" t="inlineStr">
        <is>
          <t>314</t>
        </is>
      </c>
      <c r="D275" s="4" t="inlineStr">
        <is>
          <t>X(60)</t>
        </is>
      </c>
      <c r="E275" s="4" t="inlineStr">
        <is>
          <t>Endereço Fiscal Cliente</t>
        </is>
      </c>
    </row>
    <row r="276">
      <c r="A276" s="4" t="inlineStr">
        <is>
          <t>15.13</t>
        </is>
      </c>
      <c r="B276" s="5" t="inlineStr">
        <is>
          <t>315</t>
        </is>
      </c>
      <c r="C276" s="5" t="inlineStr">
        <is>
          <t>369</t>
        </is>
      </c>
      <c r="D276" s="4" t="inlineStr">
        <is>
          <t>X(55)</t>
        </is>
      </c>
      <c r="E276" s="4" t="inlineStr">
        <is>
          <t>Município Fiscal Cliente</t>
        </is>
      </c>
    </row>
    <row r="277">
      <c r="A277" s="4" t="inlineStr">
        <is>
          <t>15.14</t>
        </is>
      </c>
      <c r="B277" s="5" t="inlineStr">
        <is>
          <t>370</t>
        </is>
      </c>
      <c r="C277" s="5" t="inlineStr">
        <is>
          <t>376</t>
        </is>
      </c>
      <c r="D277" s="4" t="inlineStr">
        <is>
          <t>9(07)</t>
        </is>
      </c>
      <c r="E277" s="4" t="inlineStr">
        <is>
          <t>Cód. Estabelecimento</t>
        </is>
      </c>
    </row>
    <row r="278">
      <c r="A278" s="4" t="inlineStr">
        <is>
          <t>15.15</t>
        </is>
      </c>
      <c r="B278" s="5" t="inlineStr">
        <is>
          <t>377</t>
        </is>
      </c>
      <c r="C278" s="5" t="inlineStr">
        <is>
          <t>390</t>
        </is>
      </c>
      <c r="D278" s="4" t="inlineStr">
        <is>
          <t>X(14)</t>
        </is>
      </c>
      <c r="E278" s="4" t="inlineStr">
        <is>
          <t>CNPJ do Cliente, onde:</t>
        </is>
      </c>
    </row>
    <row r="279">
      <c r="A279" s="4" t="inlineStr">
        <is>
          <t>15.16</t>
        </is>
      </c>
      <c r="B279" s="5" t="inlineStr">
        <is>
          <t>391</t>
        </is>
      </c>
      <c r="C279" s="5" t="inlineStr">
        <is>
          <t>405</t>
        </is>
      </c>
      <c r="D279" s="4" t="inlineStr">
        <is>
          <t>X(15)</t>
        </is>
      </c>
      <c r="E279" s="4" t="inlineStr">
        <is>
          <t>IE Cli</t>
        </is>
      </c>
    </row>
    <row r="280">
      <c r="A280" s="4" t="inlineStr">
        <is>
          <t>15.17</t>
        </is>
      </c>
      <c r="B280" s="5" t="inlineStr">
        <is>
          <t>406</t>
        </is>
      </c>
      <c r="C280" s="5" t="inlineStr">
        <is>
          <t>407</t>
        </is>
      </c>
      <c r="D280" s="4" t="inlineStr">
        <is>
          <t>X(02)</t>
        </is>
      </c>
      <c r="E280" s="4" t="inlineStr">
        <is>
          <t>UF  do  Cliente</t>
        </is>
      </c>
    </row>
    <row r="281">
      <c r="A281" s="4" t="inlineStr">
        <is>
          <t>15.18</t>
        </is>
      </c>
      <c r="B281" s="5" t="inlineStr">
        <is>
          <t>408</t>
        </is>
      </c>
      <c r="C281" s="5" t="inlineStr">
        <is>
          <t>467</t>
        </is>
      </c>
      <c r="D281" s="4" t="inlineStr">
        <is>
          <t>X(60)</t>
        </is>
      </c>
      <c r="E281" s="4" t="inlineStr">
        <is>
          <t>Nome  Dependência</t>
        </is>
      </c>
    </row>
    <row r="282">
      <c r="A282" s="4" t="inlineStr">
        <is>
          <t>15.19</t>
        </is>
      </c>
      <c r="B282" s="5" t="inlineStr">
        <is>
          <t>468</t>
        </is>
      </c>
      <c r="C282" s="5" t="inlineStr">
        <is>
          <t>472</t>
        </is>
      </c>
      <c r="D282" s="4" t="inlineStr">
        <is>
          <t>9(05)</t>
        </is>
      </c>
      <c r="E282" s="4" t="inlineStr">
        <is>
          <t>Cód-Centro-Cobrança</t>
        </is>
      </c>
    </row>
    <row r="283">
      <c r="A283" s="4" t="inlineStr">
        <is>
          <t>15.20</t>
        </is>
      </c>
      <c r="B283" s="5" t="inlineStr">
        <is>
          <t>473</t>
        </is>
      </c>
      <c r="C283" s="5" t="inlineStr">
        <is>
          <t>550</t>
        </is>
      </c>
      <c r="D283" s="4" t="inlineStr">
        <is>
          <t>X(78)</t>
        </is>
      </c>
      <c r="E283" s="4" t="inlineStr">
        <is>
          <t>Filler</t>
        </is>
      </c>
    </row>
    <row r="284"/>
    <row r="285" ht="25" customHeight="1">
      <c r="A285" s="3" t="inlineStr">
        <is>
          <t>REG 16 - Dados Oper (Mod22)</t>
        </is>
      </c>
      <c r="B285" s="6" t="n"/>
      <c r="C285" s="6" t="n"/>
      <c r="D285" s="6" t="n"/>
      <c r="E285" s="7" t="n"/>
    </row>
    <row r="286">
      <c r="A286" s="4" t="inlineStr">
        <is>
          <t>16.01</t>
        </is>
      </c>
      <c r="B286" s="5" t="inlineStr">
        <is>
          <t>1</t>
        </is>
      </c>
      <c r="C286" s="5" t="inlineStr">
        <is>
          <t>2</t>
        </is>
      </c>
      <c r="D286" s="4" t="inlineStr">
        <is>
          <t>9(02)</t>
        </is>
      </c>
      <c r="E286" s="4" t="inlineStr">
        <is>
          <t>Tipo de Registro = 16</t>
        </is>
      </c>
    </row>
    <row r="287">
      <c r="A287" s="4" t="inlineStr">
        <is>
          <t>16.02</t>
        </is>
      </c>
      <c r="B287" s="5" t="inlineStr">
        <is>
          <t>3</t>
        </is>
      </c>
      <c r="C287" s="5" t="inlineStr">
        <is>
          <t>22</t>
        </is>
      </c>
      <c r="D287" s="4" t="inlineStr">
        <is>
          <t>X(20)</t>
        </is>
      </c>
      <c r="E287" s="4" t="inlineStr">
        <is>
          <t>Nome Operadora</t>
        </is>
      </c>
    </row>
    <row r="288">
      <c r="A288" s="4" t="inlineStr">
        <is>
          <t>16.03</t>
        </is>
      </c>
      <c r="B288" s="5" t="inlineStr">
        <is>
          <t>23</t>
        </is>
      </c>
      <c r="C288" s="5" t="inlineStr">
        <is>
          <t>92</t>
        </is>
      </c>
      <c r="D288" s="4" t="inlineStr">
        <is>
          <t>X(70)</t>
        </is>
      </c>
      <c r="E288" s="4" t="inlineStr">
        <is>
          <t>Endereço da Operadora</t>
        </is>
      </c>
    </row>
    <row r="289">
      <c r="A289" s="4" t="inlineStr">
        <is>
          <t>16.04</t>
        </is>
      </c>
      <c r="B289" s="5" t="inlineStr">
        <is>
          <t>93</t>
        </is>
      </c>
      <c r="C289" s="5" t="inlineStr">
        <is>
          <t>100</t>
        </is>
      </c>
      <c r="D289" s="4" t="inlineStr">
        <is>
          <t>9(08)</t>
        </is>
      </c>
      <c r="E289" s="4" t="inlineStr">
        <is>
          <t>Cep Operadora</t>
        </is>
      </c>
    </row>
    <row r="290">
      <c r="A290" s="4" t="inlineStr">
        <is>
          <t>16.05</t>
        </is>
      </c>
      <c r="B290" s="5" t="inlineStr">
        <is>
          <t>101</t>
        </is>
      </c>
      <c r="C290" s="5" t="inlineStr">
        <is>
          <t>155</t>
        </is>
      </c>
      <c r="D290" s="4" t="inlineStr">
        <is>
          <t>X(55)</t>
        </is>
      </c>
      <c r="E290" s="4" t="inlineStr">
        <is>
          <t>Nome Município Operadora</t>
        </is>
      </c>
    </row>
    <row r="291">
      <c r="A291" s="4" t="inlineStr">
        <is>
          <t>16.06</t>
        </is>
      </c>
      <c r="B291" s="5" t="inlineStr">
        <is>
          <t>156</t>
        </is>
      </c>
      <c r="C291" s="5" t="inlineStr">
        <is>
          <t>169</t>
        </is>
      </c>
      <c r="D291" s="4" t="inlineStr">
        <is>
          <t>X(14)</t>
        </is>
      </c>
      <c r="E291" s="4" t="inlineStr">
        <is>
          <t>CNPJ da Operadora</t>
        </is>
      </c>
    </row>
    <row r="292">
      <c r="A292" s="4" t="inlineStr">
        <is>
          <t>16.07</t>
        </is>
      </c>
      <c r="B292" s="5" t="inlineStr">
        <is>
          <t>170</t>
        </is>
      </c>
      <c r="C292" s="5" t="inlineStr">
        <is>
          <t>184</t>
        </is>
      </c>
      <c r="D292" s="4" t="inlineStr">
        <is>
          <t>X(15)</t>
        </is>
      </c>
      <c r="E292" s="4" t="inlineStr">
        <is>
          <t>Inscrição Estadual da Operadora</t>
        </is>
      </c>
    </row>
    <row r="293">
      <c r="A293" s="4" t="inlineStr">
        <is>
          <t>16.08</t>
        </is>
      </c>
      <c r="B293" s="5" t="inlineStr">
        <is>
          <t>185</t>
        </is>
      </c>
      <c r="C293" s="5" t="inlineStr">
        <is>
          <t>241</t>
        </is>
      </c>
      <c r="D293" s="4" t="inlineStr">
        <is>
          <t>X(57)</t>
        </is>
      </c>
      <c r="E293" s="4" t="inlineStr">
        <is>
          <t>Mensagem (Regime Especial)</t>
        </is>
      </c>
    </row>
    <row r="294">
      <c r="A294" s="4" t="inlineStr">
        <is>
          <t>16.09</t>
        </is>
      </c>
      <c r="B294" s="5" t="inlineStr">
        <is>
          <t>242</t>
        </is>
      </c>
      <c r="C294" s="5" t="inlineStr">
        <is>
          <t>243</t>
        </is>
      </c>
      <c r="D294" s="4" t="inlineStr">
        <is>
          <t>X(02)</t>
        </is>
      </c>
      <c r="E294" s="4" t="inlineStr">
        <is>
          <t>Sigla UF da Operadora</t>
        </is>
      </c>
    </row>
    <row r="295">
      <c r="A295" s="4" t="inlineStr">
        <is>
          <t>16.10</t>
        </is>
      </c>
      <c r="B295" s="5" t="inlineStr">
        <is>
          <t>244</t>
        </is>
      </c>
      <c r="C295" s="5" t="inlineStr">
        <is>
          <t>252</t>
        </is>
      </c>
      <c r="D295" s="4" t="inlineStr">
        <is>
          <t>9(09)</t>
        </is>
      </c>
      <c r="E295" s="4" t="inlineStr">
        <is>
          <t>Número da Nota Fiscal Operadora</t>
        </is>
      </c>
    </row>
    <row r="296">
      <c r="A296" s="4" t="inlineStr">
        <is>
          <t>16.11</t>
        </is>
      </c>
      <c r="B296" s="5" t="inlineStr">
        <is>
          <t>253</t>
        </is>
      </c>
      <c r="C296" s="5" t="inlineStr">
        <is>
          <t>255</t>
        </is>
      </c>
      <c r="D296" s="4" t="inlineStr">
        <is>
          <t>X(03)</t>
        </is>
      </c>
      <c r="E296" s="4" t="inlineStr">
        <is>
          <t>Série da Nota Fiscal Operadora</t>
        </is>
      </c>
    </row>
    <row r="297">
      <c r="A297" s="4" t="inlineStr">
        <is>
          <t>16.12</t>
        </is>
      </c>
      <c r="B297" s="5" t="inlineStr">
        <is>
          <t>256</t>
        </is>
      </c>
      <c r="C297" s="5" t="inlineStr">
        <is>
          <t>256</t>
        </is>
      </c>
      <c r="D297" s="4" t="inlineStr">
        <is>
          <t>X(01)</t>
        </is>
      </c>
      <c r="E297" s="4" t="inlineStr">
        <is>
          <t>Sub-série da Nota Fiscal Operadora</t>
        </is>
      </c>
    </row>
    <row r="298">
      <c r="A298" s="4" t="inlineStr">
        <is>
          <t>16.13</t>
        </is>
      </c>
      <c r="B298" s="5" t="inlineStr">
        <is>
          <t>257</t>
        </is>
      </c>
      <c r="C298" s="5" t="inlineStr">
        <is>
          <t>261</t>
        </is>
      </c>
      <c r="D298" s="4" t="inlineStr">
        <is>
          <t>X(05)</t>
        </is>
      </c>
      <c r="E298" s="4" t="inlineStr">
        <is>
          <t>CFOP</t>
        </is>
      </c>
    </row>
    <row r="299">
      <c r="A299" s="4" t="inlineStr">
        <is>
          <t>16.14</t>
        </is>
      </c>
      <c r="B299" s="5" t="inlineStr">
        <is>
          <t>262</t>
        </is>
      </c>
      <c r="C299" s="5" t="inlineStr">
        <is>
          <t>550</t>
        </is>
      </c>
      <c r="D299" s="4" t="inlineStr">
        <is>
          <t>X(289)</t>
        </is>
      </c>
      <c r="E299" s="4" t="inlineStr">
        <is>
          <t>Filler</t>
        </is>
      </c>
    </row>
    <row r="300"/>
    <row r="301" ht="25" customHeight="1">
      <c r="A301" s="3" t="inlineStr">
        <is>
          <t>REG 17 - Itens Oper (Mod22)</t>
        </is>
      </c>
      <c r="B301" s="6" t="n"/>
      <c r="C301" s="6" t="n"/>
      <c r="D301" s="6" t="n"/>
      <c r="E301" s="7" t="n"/>
    </row>
    <row r="302">
      <c r="A302" s="4" t="inlineStr">
        <is>
          <t>17.01</t>
        </is>
      </c>
      <c r="B302" s="5" t="inlineStr">
        <is>
          <t>1</t>
        </is>
      </c>
      <c r="C302" s="5" t="inlineStr">
        <is>
          <t>2</t>
        </is>
      </c>
      <c r="D302" s="4" t="inlineStr">
        <is>
          <t>9(02)</t>
        </is>
      </c>
      <c r="E302" s="4" t="inlineStr">
        <is>
          <t>Tipo de Registro = 17</t>
        </is>
      </c>
    </row>
    <row r="303">
      <c r="A303" s="4" t="inlineStr">
        <is>
          <t>17.02</t>
        </is>
      </c>
      <c r="B303" s="5" t="inlineStr">
        <is>
          <t>3</t>
        </is>
      </c>
      <c r="C303" s="5" t="inlineStr">
        <is>
          <t>52</t>
        </is>
      </c>
      <c r="D303" s="4" t="inlineStr">
        <is>
          <t>X(50)</t>
        </is>
      </c>
      <c r="E303" s="4" t="inlineStr">
        <is>
          <t>Descrição do Serviço da operadora</t>
        </is>
      </c>
    </row>
    <row r="304">
      <c r="A304" s="4" t="inlineStr">
        <is>
          <t>17.03</t>
        </is>
      </c>
      <c r="B304" s="5" t="inlineStr">
        <is>
          <t>53</t>
        </is>
      </c>
      <c r="C304" s="5" t="inlineStr">
        <is>
          <t>72</t>
        </is>
      </c>
      <c r="D304" s="4" t="inlineStr">
        <is>
          <t>X(20)</t>
        </is>
      </c>
      <c r="E304" s="4" t="inlineStr">
        <is>
          <t>Descrição Origem</t>
        </is>
      </c>
    </row>
    <row r="305">
      <c r="A305" s="4" t="inlineStr">
        <is>
          <t>17.04</t>
        </is>
      </c>
      <c r="B305" s="5" t="inlineStr">
        <is>
          <t>73</t>
        </is>
      </c>
      <c r="C305" s="5" t="inlineStr">
        <is>
          <t>77</t>
        </is>
      </c>
      <c r="D305" s="4" t="inlineStr">
        <is>
          <t>9(3)V99</t>
        </is>
      </c>
      <c r="E305" s="4" t="inlineStr">
        <is>
          <t>Alíquota</t>
        </is>
      </c>
    </row>
    <row r="306">
      <c r="A306" s="4" t="inlineStr">
        <is>
          <t>17.05</t>
        </is>
      </c>
      <c r="B306" s="5" t="inlineStr">
        <is>
          <t>78</t>
        </is>
      </c>
      <c r="C306" s="5" t="inlineStr">
        <is>
          <t>78</t>
        </is>
      </c>
      <c r="D306" s="4" t="inlineStr">
        <is>
          <t>X(01)</t>
        </is>
      </c>
      <c r="E306" s="4">
        <f> C, Quando  o  valor for negativo</f>
        <v/>
      </c>
    </row>
    <row r="307">
      <c r="A307" s="4" t="inlineStr">
        <is>
          <t>17.06</t>
        </is>
      </c>
      <c r="B307" s="5" t="inlineStr">
        <is>
          <t>79</t>
        </is>
      </c>
      <c r="C307" s="5" t="inlineStr">
        <is>
          <t>93</t>
        </is>
      </c>
      <c r="D307" s="4" t="inlineStr">
        <is>
          <t>9(13)V99</t>
        </is>
      </c>
      <c r="E307" s="4" t="inlineStr">
        <is>
          <t>Valor  do  Item</t>
        </is>
      </c>
    </row>
    <row r="308">
      <c r="A308" s="4" t="inlineStr">
        <is>
          <t>17.07</t>
        </is>
      </c>
      <c r="B308" s="5" t="inlineStr">
        <is>
          <t>94</t>
        </is>
      </c>
      <c r="C308" s="5" t="inlineStr">
        <is>
          <t>98</t>
        </is>
      </c>
      <c r="D308" s="4" t="inlineStr">
        <is>
          <t>9(05)</t>
        </is>
      </c>
      <c r="E308" s="4" t="inlineStr">
        <is>
          <t>Código nacional de Localidade (CNL)</t>
        </is>
      </c>
    </row>
    <row r="309">
      <c r="A309" s="4" t="inlineStr">
        <is>
          <t>17.08</t>
        </is>
      </c>
      <c r="B309" s="5" t="inlineStr">
        <is>
          <t>99</t>
        </is>
      </c>
      <c r="C309" s="5" t="inlineStr">
        <is>
          <t>113</t>
        </is>
      </c>
      <c r="D309" s="4" t="inlineStr">
        <is>
          <t>9(13)V99</t>
        </is>
      </c>
      <c r="E309" s="4" t="inlineStr">
        <is>
          <t>Valor do Imposto</t>
        </is>
      </c>
    </row>
    <row r="310">
      <c r="A310" s="4" t="inlineStr">
        <is>
          <t>17.09</t>
        </is>
      </c>
      <c r="B310" s="5" t="inlineStr">
        <is>
          <t>114</t>
        </is>
      </c>
      <c r="C310" s="5" t="inlineStr">
        <is>
          <t>128</t>
        </is>
      </c>
      <c r="D310" s="4" t="inlineStr">
        <is>
          <t>9(13)V99</t>
        </is>
      </c>
      <c r="E310" s="4" t="inlineStr">
        <is>
          <t>Valor do PIS</t>
        </is>
      </c>
    </row>
    <row r="311">
      <c r="A311" s="4" t="inlineStr">
        <is>
          <t>17.10</t>
        </is>
      </c>
      <c r="B311" s="5" t="inlineStr">
        <is>
          <t>129</t>
        </is>
      </c>
      <c r="C311" s="5" t="inlineStr">
        <is>
          <t>143</t>
        </is>
      </c>
      <c r="D311" s="4" t="inlineStr">
        <is>
          <t>9(13)V99</t>
        </is>
      </c>
      <c r="E311" s="4" t="inlineStr">
        <is>
          <t>Valor do COFINS</t>
        </is>
      </c>
    </row>
    <row r="312">
      <c r="A312" s="4" t="inlineStr">
        <is>
          <t>17.11</t>
        </is>
      </c>
      <c r="B312" s="5" t="inlineStr">
        <is>
          <t>144</t>
        </is>
      </c>
      <c r="C312" s="5" t="inlineStr">
        <is>
          <t>550</t>
        </is>
      </c>
      <c r="D312" s="4" t="inlineStr">
        <is>
          <t>X(407)</t>
        </is>
      </c>
      <c r="E312" s="4" t="inlineStr">
        <is>
          <t>Filler</t>
        </is>
      </c>
    </row>
    <row r="313"/>
    <row r="314" ht="25" customHeight="1">
      <c r="A314" s="3" t="inlineStr">
        <is>
          <t>REG 18 - Base Oper (Mod22)</t>
        </is>
      </c>
      <c r="B314" s="6" t="n"/>
      <c r="C314" s="6" t="n"/>
      <c r="D314" s="6" t="n"/>
      <c r="E314" s="7" t="n"/>
    </row>
    <row r="315">
      <c r="A315" s="4" t="inlineStr">
        <is>
          <t>18.01</t>
        </is>
      </c>
      <c r="B315" s="5" t="inlineStr">
        <is>
          <t>1</t>
        </is>
      </c>
      <c r="C315" s="5" t="inlineStr">
        <is>
          <t>2</t>
        </is>
      </c>
      <c r="D315" s="4" t="inlineStr">
        <is>
          <t>9(02)</t>
        </is>
      </c>
      <c r="E315" s="4" t="inlineStr">
        <is>
          <t>Tipo de Registro = 18</t>
        </is>
      </c>
    </row>
    <row r="316">
      <c r="A316" s="4" t="inlineStr">
        <is>
          <t>18.02</t>
        </is>
      </c>
      <c r="B316" s="5" t="inlineStr">
        <is>
          <t>3</t>
        </is>
      </c>
      <c r="C316" s="5" t="inlineStr">
        <is>
          <t>3</t>
        </is>
      </c>
      <c r="D316" s="4" t="inlineStr">
        <is>
          <t>X(01)</t>
        </is>
      </c>
      <c r="E316" s="4">
        <f> C, Quando  o  valor for negativo</f>
        <v/>
      </c>
    </row>
    <row r="317">
      <c r="A317" s="4" t="inlineStr">
        <is>
          <t>18.03</t>
        </is>
      </c>
      <c r="B317" s="5" t="inlineStr">
        <is>
          <t>4</t>
        </is>
      </c>
      <c r="C317" s="5" t="inlineStr">
        <is>
          <t>18</t>
        </is>
      </c>
      <c r="D317" s="4" t="inlineStr">
        <is>
          <t>9(13)V99</t>
        </is>
      </c>
      <c r="E317" s="4" t="inlineStr">
        <is>
          <t>Valor  Total</t>
        </is>
      </c>
    </row>
    <row r="318">
      <c r="A318" s="4" t="inlineStr">
        <is>
          <t>18.04</t>
        </is>
      </c>
      <c r="B318" s="5" t="inlineStr">
        <is>
          <t>19</t>
        </is>
      </c>
      <c r="C318" s="5" t="inlineStr">
        <is>
          <t>19</t>
        </is>
      </c>
      <c r="D318" s="4" t="inlineStr">
        <is>
          <t>X(01)</t>
        </is>
      </c>
      <c r="E318" s="4">
        <f> C, Quando  o  valor for negativo</f>
        <v/>
      </c>
    </row>
    <row r="319">
      <c r="A319" s="4" t="inlineStr">
        <is>
          <t>18.05</t>
        </is>
      </c>
      <c r="B319" s="5" t="inlineStr">
        <is>
          <t>20</t>
        </is>
      </c>
      <c r="C319" s="5" t="inlineStr">
        <is>
          <t>33</t>
        </is>
      </c>
      <c r="D319" s="4" t="inlineStr">
        <is>
          <t>9(12)V99</t>
        </is>
      </c>
      <c r="E319" s="4" t="inlineStr">
        <is>
          <t>Valor da Base de Cálculo</t>
        </is>
      </c>
    </row>
    <row r="320">
      <c r="A320" s="4" t="inlineStr">
        <is>
          <t>18.06</t>
        </is>
      </c>
      <c r="B320" s="5" t="inlineStr">
        <is>
          <t>34</t>
        </is>
      </c>
      <c r="C320" s="5" t="inlineStr">
        <is>
          <t>37</t>
        </is>
      </c>
      <c r="D320" s="4" t="inlineStr">
        <is>
          <t>X(04)</t>
        </is>
      </c>
      <c r="E320" s="4" t="inlineStr">
        <is>
          <t>Asterisco Alíquota,</t>
        </is>
      </c>
    </row>
    <row r="321">
      <c r="A321" s="4" t="inlineStr">
        <is>
          <t>18.07</t>
        </is>
      </c>
      <c r="B321" s="5" t="inlineStr">
        <is>
          <t>38</t>
        </is>
      </c>
      <c r="C321" s="5" t="inlineStr">
        <is>
          <t>42</t>
        </is>
      </c>
      <c r="D321" s="4" t="inlineStr">
        <is>
          <t>9(03)V99</t>
        </is>
      </c>
      <c r="E321" s="4" t="inlineStr">
        <is>
          <t>Alíquota</t>
        </is>
      </c>
    </row>
    <row r="322">
      <c r="A322" s="4" t="inlineStr">
        <is>
          <t>18.08</t>
        </is>
      </c>
      <c r="B322" s="5" t="inlineStr">
        <is>
          <t>43</t>
        </is>
      </c>
      <c r="C322" s="5" t="inlineStr">
        <is>
          <t>43</t>
        </is>
      </c>
      <c r="D322" s="4" t="inlineStr">
        <is>
          <t>X(01)</t>
        </is>
      </c>
      <c r="E322" s="4">
        <f> C, Quando  o  valor for negativo</f>
        <v/>
      </c>
    </row>
    <row r="323">
      <c r="A323" s="4" t="inlineStr">
        <is>
          <t>18.09</t>
        </is>
      </c>
      <c r="B323" s="5" t="inlineStr">
        <is>
          <t>44</t>
        </is>
      </c>
      <c r="C323" s="5" t="inlineStr">
        <is>
          <t>57</t>
        </is>
      </c>
      <c r="D323" s="4" t="inlineStr">
        <is>
          <t>9(12)V99</t>
        </is>
      </c>
      <c r="E323" s="4" t="inlineStr">
        <is>
          <t>Valor  do  Imposto (ICMS)</t>
        </is>
      </c>
    </row>
    <row r="324">
      <c r="A324" s="4" t="inlineStr">
        <is>
          <t>18.10</t>
        </is>
      </c>
      <c r="B324" s="5" t="inlineStr">
        <is>
          <t>58</t>
        </is>
      </c>
      <c r="C324" s="5" t="inlineStr">
        <is>
          <t>58</t>
        </is>
      </c>
      <c r="D324" s="4" t="inlineStr">
        <is>
          <t>X(01)</t>
        </is>
      </c>
      <c r="E324" s="4">
        <f> C, Quando  o  valor for negativo</f>
        <v/>
      </c>
    </row>
    <row r="325">
      <c r="A325" s="4" t="inlineStr">
        <is>
          <t>18.11</t>
        </is>
      </c>
      <c r="B325" s="5" t="inlineStr">
        <is>
          <t>59</t>
        </is>
      </c>
      <c r="C325" s="5" t="inlineStr">
        <is>
          <t>72</t>
        </is>
      </c>
      <c r="D325" s="4" t="inlineStr">
        <is>
          <t>9(12)V99</t>
        </is>
      </c>
      <c r="E325" s="4" t="inlineStr">
        <is>
          <t>Valor  Isentos</t>
        </is>
      </c>
    </row>
    <row r="326">
      <c r="A326" s="4" t="inlineStr">
        <is>
          <t>18.12</t>
        </is>
      </c>
      <c r="B326" s="5" t="inlineStr">
        <is>
          <t>73</t>
        </is>
      </c>
      <c r="C326" s="5" t="inlineStr">
        <is>
          <t>73</t>
        </is>
      </c>
      <c r="D326" s="4" t="inlineStr">
        <is>
          <t>X(01)</t>
        </is>
      </c>
      <c r="E326" s="4">
        <f> C, Quando  o  valor for negativo</f>
        <v/>
      </c>
    </row>
    <row r="327">
      <c r="A327" s="4" t="inlineStr">
        <is>
          <t>18.13</t>
        </is>
      </c>
      <c r="B327" s="5" t="inlineStr">
        <is>
          <t>74</t>
        </is>
      </c>
      <c r="C327" s="5" t="inlineStr">
        <is>
          <t>87</t>
        </is>
      </c>
      <c r="D327" s="4" t="inlineStr">
        <is>
          <t>9(12)V99</t>
        </is>
      </c>
      <c r="E327" s="4" t="inlineStr">
        <is>
          <t>Valor  Outros</t>
        </is>
      </c>
    </row>
    <row r="328">
      <c r="A328" s="4" t="inlineStr">
        <is>
          <t>18.14</t>
        </is>
      </c>
      <c r="B328" s="5" t="inlineStr">
        <is>
          <t>88</t>
        </is>
      </c>
      <c r="C328" s="5" t="inlineStr">
        <is>
          <t>550</t>
        </is>
      </c>
      <c r="D328" s="4" t="inlineStr">
        <is>
          <t>X(463)</t>
        </is>
      </c>
      <c r="E328" s="4" t="inlineStr">
        <is>
          <t>Filler</t>
        </is>
      </c>
    </row>
    <row r="329"/>
    <row r="330" ht="25" customHeight="1">
      <c r="A330" s="3" t="inlineStr">
        <is>
          <t>REG 19 - Som Oper (Mod22)</t>
        </is>
      </c>
      <c r="B330" s="6" t="n"/>
      <c r="C330" s="6" t="n"/>
      <c r="D330" s="6" t="n"/>
      <c r="E330" s="7" t="n"/>
    </row>
    <row r="331">
      <c r="A331" s="4" t="inlineStr">
        <is>
          <t>19.01</t>
        </is>
      </c>
      <c r="B331" s="5" t="inlineStr">
        <is>
          <t>1</t>
        </is>
      </c>
      <c r="C331" s="5" t="inlineStr">
        <is>
          <t>2</t>
        </is>
      </c>
      <c r="D331" s="4" t="inlineStr">
        <is>
          <t>9(02)</t>
        </is>
      </c>
      <c r="E331" s="4" t="inlineStr">
        <is>
          <t>Tipo de Registro = 19</t>
        </is>
      </c>
    </row>
    <row r="332">
      <c r="A332" s="4" t="inlineStr">
        <is>
          <t>19.02</t>
        </is>
      </c>
      <c r="B332" s="5" t="inlineStr">
        <is>
          <t>3</t>
        </is>
      </c>
      <c r="C332" s="5" t="inlineStr">
        <is>
          <t>3</t>
        </is>
      </c>
      <c r="D332" s="4" t="inlineStr">
        <is>
          <t>X(01)</t>
        </is>
      </c>
      <c r="E332" s="4">
        <f> C, Quando  o  valor for negativo</f>
        <v/>
      </c>
    </row>
    <row r="333">
      <c r="A333" s="4" t="inlineStr">
        <is>
          <t>19.03</t>
        </is>
      </c>
      <c r="B333" s="5" t="inlineStr">
        <is>
          <t>4</t>
        </is>
      </c>
      <c r="C333" s="5" t="inlineStr">
        <is>
          <t>18</t>
        </is>
      </c>
      <c r="D333" s="4" t="inlineStr">
        <is>
          <t>9(13)V99</t>
        </is>
      </c>
      <c r="E333" s="4" t="inlineStr">
        <is>
          <t>Somatório Valor Total</t>
        </is>
      </c>
    </row>
    <row r="334">
      <c r="A334" s="4" t="inlineStr">
        <is>
          <t>19.04</t>
        </is>
      </c>
      <c r="B334" s="5" t="inlineStr">
        <is>
          <t>19</t>
        </is>
      </c>
      <c r="C334" s="5" t="inlineStr">
        <is>
          <t>19</t>
        </is>
      </c>
      <c r="D334" s="4" t="inlineStr">
        <is>
          <t>X(01)</t>
        </is>
      </c>
      <c r="E334" s="4">
        <f> C, Quando  o  valor for negativo</f>
        <v/>
      </c>
    </row>
    <row r="335">
      <c r="A335" s="4" t="inlineStr">
        <is>
          <t>19.05</t>
        </is>
      </c>
      <c r="B335" s="5" t="inlineStr">
        <is>
          <t>20</t>
        </is>
      </c>
      <c r="C335" s="5" t="inlineStr">
        <is>
          <t>33</t>
        </is>
      </c>
      <c r="D335" s="4" t="inlineStr">
        <is>
          <t>9(12)V99</t>
        </is>
      </c>
      <c r="E335" s="4" t="inlineStr">
        <is>
          <t>Somatório</t>
        </is>
      </c>
    </row>
    <row r="336">
      <c r="A336" s="4" t="inlineStr">
        <is>
          <t>19.06</t>
        </is>
      </c>
      <c r="B336" s="5" t="inlineStr">
        <is>
          <t>34</t>
        </is>
      </c>
      <c r="C336" s="5" t="inlineStr">
        <is>
          <t>34</t>
        </is>
      </c>
      <c r="D336" s="4" t="inlineStr">
        <is>
          <t>X(01)</t>
        </is>
      </c>
      <c r="E336" s="4">
        <f> C, Quando  o  valor for negativo</f>
        <v/>
      </c>
    </row>
    <row r="337">
      <c r="A337" s="4" t="inlineStr">
        <is>
          <t>19.07</t>
        </is>
      </c>
      <c r="B337" s="5" t="inlineStr">
        <is>
          <t>35</t>
        </is>
      </c>
      <c r="C337" s="5" t="inlineStr">
        <is>
          <t>48</t>
        </is>
      </c>
      <c r="D337" s="4" t="inlineStr">
        <is>
          <t>9(12)V99</t>
        </is>
      </c>
      <c r="E337" s="4" t="inlineStr">
        <is>
          <t>Somatório Valor de Imposto</t>
        </is>
      </c>
    </row>
    <row r="338">
      <c r="A338" s="4" t="inlineStr">
        <is>
          <t>19.08</t>
        </is>
      </c>
      <c r="B338" s="5" t="inlineStr">
        <is>
          <t>49</t>
        </is>
      </c>
      <c r="C338" s="5" t="inlineStr">
        <is>
          <t>49</t>
        </is>
      </c>
      <c r="D338" s="4" t="inlineStr">
        <is>
          <t>X(01)</t>
        </is>
      </c>
      <c r="E338" s="4" t="inlineStr">
        <is>
          <t>C/D</t>
        </is>
      </c>
    </row>
    <row r="339">
      <c r="A339" s="4" t="inlineStr">
        <is>
          <t>19.09</t>
        </is>
      </c>
      <c r="B339" s="5" t="inlineStr">
        <is>
          <t>50</t>
        </is>
      </c>
      <c r="C339" s="5" t="inlineStr">
        <is>
          <t>63</t>
        </is>
      </c>
      <c r="D339" s="4" t="inlineStr">
        <is>
          <t>9(12)V99</t>
        </is>
      </c>
      <c r="E339" s="4" t="inlineStr">
        <is>
          <t>Somatório Valor Isentos</t>
        </is>
      </c>
    </row>
    <row r="340">
      <c r="A340" s="4" t="inlineStr">
        <is>
          <t>19.10</t>
        </is>
      </c>
      <c r="B340" s="5" t="inlineStr">
        <is>
          <t>64</t>
        </is>
      </c>
      <c r="C340" s="5" t="inlineStr">
        <is>
          <t>64</t>
        </is>
      </c>
      <c r="D340" s="4" t="inlineStr">
        <is>
          <t>X(01)</t>
        </is>
      </c>
      <c r="E340" s="4">
        <f> C, Quando  o  valor for negativo</f>
        <v/>
      </c>
    </row>
    <row r="341">
      <c r="A341" s="4" t="inlineStr">
        <is>
          <t>19.11</t>
        </is>
      </c>
      <c r="B341" s="5" t="inlineStr">
        <is>
          <t>65</t>
        </is>
      </c>
      <c r="C341" s="5" t="inlineStr">
        <is>
          <t>78</t>
        </is>
      </c>
      <c r="D341" s="4" t="inlineStr">
        <is>
          <t>9(12)V99</t>
        </is>
      </c>
      <c r="E341" s="4" t="inlineStr">
        <is>
          <t>Somatório Valor Outros</t>
        </is>
      </c>
    </row>
    <row r="342">
      <c r="A342" s="4" t="inlineStr">
        <is>
          <t>19.12</t>
        </is>
      </c>
      <c r="B342" s="5" t="inlineStr">
        <is>
          <t>79</t>
        </is>
      </c>
      <c r="C342" s="5" t="inlineStr">
        <is>
          <t>117</t>
        </is>
      </c>
      <c r="D342" s="4" t="inlineStr">
        <is>
          <t>X(39)</t>
        </is>
      </c>
      <c r="E342" s="4" t="inlineStr">
        <is>
          <t>Hash-Code operadora</t>
        </is>
      </c>
    </row>
    <row r="343">
      <c r="A343" s="4" t="inlineStr">
        <is>
          <t>19.13</t>
        </is>
      </c>
      <c r="B343" s="5" t="inlineStr">
        <is>
          <t>118</t>
        </is>
      </c>
      <c r="C343" s="5" t="inlineStr">
        <is>
          <t>550</t>
        </is>
      </c>
      <c r="D343" s="4" t="inlineStr">
        <is>
          <t>X(433)</t>
        </is>
      </c>
      <c r="E343" s="4" t="inlineStr">
        <is>
          <t>Filler</t>
        </is>
      </c>
    </row>
    <row r="344"/>
    <row r="345" ht="25" customHeight="1">
      <c r="A345" s="3" t="inlineStr">
        <is>
          <t>REG 20 - Cadastro NF ISS (Mod22)</t>
        </is>
      </c>
      <c r="B345" s="6" t="n"/>
      <c r="C345" s="6" t="n"/>
      <c r="D345" s="6" t="n"/>
      <c r="E345" s="7" t="n"/>
    </row>
    <row r="346">
      <c r="A346" s="4" t="inlineStr">
        <is>
          <t>20.01</t>
        </is>
      </c>
      <c r="B346" s="5" t="inlineStr">
        <is>
          <t>1</t>
        </is>
      </c>
      <c r="C346" s="5" t="inlineStr">
        <is>
          <t>2</t>
        </is>
      </c>
      <c r="D346" s="4" t="inlineStr">
        <is>
          <t>9(02)</t>
        </is>
      </c>
      <c r="E346" s="4" t="inlineStr">
        <is>
          <t>Tipo de Registro = 20</t>
        </is>
      </c>
    </row>
    <row r="347">
      <c r="A347" s="4" t="inlineStr">
        <is>
          <t>20.02</t>
        </is>
      </c>
      <c r="B347" s="5" t="inlineStr">
        <is>
          <t>3</t>
        </is>
      </c>
      <c r="C347" s="5" t="inlineStr">
        <is>
          <t>17</t>
        </is>
      </c>
      <c r="D347" s="4" t="inlineStr">
        <is>
          <t>9(15)</t>
        </is>
      </c>
      <c r="E347" s="4" t="inlineStr">
        <is>
          <t>Código  de  Cliente</t>
        </is>
      </c>
    </row>
    <row r="348">
      <c r="A348" s="4" t="inlineStr">
        <is>
          <t>20.03</t>
        </is>
      </c>
      <c r="B348" s="5" t="inlineStr">
        <is>
          <t>18</t>
        </is>
      </c>
      <c r="C348" s="5" t="inlineStr">
        <is>
          <t>25</t>
        </is>
      </c>
      <c r="D348" s="4" t="inlineStr">
        <is>
          <t>X(08)</t>
        </is>
      </c>
      <c r="E348" s="4" t="inlineStr">
        <is>
          <t>Número da Nota Fiscal</t>
        </is>
      </c>
    </row>
    <row r="349">
      <c r="A349" s="4" t="inlineStr">
        <is>
          <t>20.04</t>
        </is>
      </c>
      <c r="B349" s="5" t="inlineStr">
        <is>
          <t>26</t>
        </is>
      </c>
      <c r="C349" s="5" t="inlineStr">
        <is>
          <t>29</t>
        </is>
      </c>
      <c r="D349" s="4" t="inlineStr">
        <is>
          <t>9(04)</t>
        </is>
      </c>
      <c r="E349" s="4" t="inlineStr">
        <is>
          <t>Código  da  Prefeitura</t>
        </is>
      </c>
    </row>
    <row r="350">
      <c r="A350" s="4" t="inlineStr">
        <is>
          <t>20.05</t>
        </is>
      </c>
      <c r="B350" s="5" t="inlineStr">
        <is>
          <t>30</t>
        </is>
      </c>
      <c r="C350" s="5" t="inlineStr">
        <is>
          <t>59</t>
        </is>
      </c>
      <c r="D350" s="4" t="inlineStr">
        <is>
          <t>X(30)</t>
        </is>
      </c>
      <c r="E350" s="4" t="inlineStr">
        <is>
          <t>Nome  da  Prefeitura</t>
        </is>
      </c>
    </row>
    <row r="351">
      <c r="A351" s="4" t="inlineStr">
        <is>
          <t>20.06</t>
        </is>
      </c>
      <c r="B351" s="5" t="inlineStr">
        <is>
          <t>60</t>
        </is>
      </c>
      <c r="C351" s="5" t="inlineStr">
        <is>
          <t>65</t>
        </is>
      </c>
      <c r="D351" s="4" t="inlineStr">
        <is>
          <t>9(06)</t>
        </is>
      </c>
      <c r="E351" s="4" t="inlineStr">
        <is>
          <t>Validade  de  Emissão</t>
        </is>
      </c>
    </row>
    <row r="352">
      <c r="A352" s="4" t="inlineStr">
        <is>
          <t>20.07</t>
        </is>
      </c>
      <c r="B352" s="5" t="inlineStr">
        <is>
          <t>66</t>
        </is>
      </c>
      <c r="C352" s="5" t="inlineStr">
        <is>
          <t>73</t>
        </is>
      </c>
      <c r="D352" s="4" t="inlineStr">
        <is>
          <t>X(08)</t>
        </is>
      </c>
      <c r="E352" s="4" t="inlineStr">
        <is>
          <t>Natureza  da  Operação</t>
        </is>
      </c>
    </row>
    <row r="353">
      <c r="A353" s="4" t="inlineStr">
        <is>
          <t>20.08</t>
        </is>
      </c>
      <c r="B353" s="5" t="inlineStr">
        <is>
          <t>74</t>
        </is>
      </c>
      <c r="C353" s="5" t="inlineStr">
        <is>
          <t>85</t>
        </is>
      </c>
      <c r="D353" s="4" t="inlineStr">
        <is>
          <t>9(12)</t>
        </is>
      </c>
      <c r="E353" s="4" t="inlineStr">
        <is>
          <t>Número  da  Fatura/CPS</t>
        </is>
      </c>
    </row>
    <row r="354">
      <c r="A354" s="4" t="inlineStr">
        <is>
          <t>20.09</t>
        </is>
      </c>
      <c r="B354" s="5" t="inlineStr">
        <is>
          <t>86</t>
        </is>
      </c>
      <c r="C354" s="5" t="inlineStr">
        <is>
          <t>93</t>
        </is>
      </c>
      <c r="D354" s="4" t="inlineStr">
        <is>
          <t>9(08)</t>
        </is>
      </c>
      <c r="E354" s="4" t="inlineStr">
        <is>
          <t>Data-Emissão (AAAAMMDD)</t>
        </is>
      </c>
    </row>
    <row r="355">
      <c r="A355" s="4" t="inlineStr">
        <is>
          <t>20.10</t>
        </is>
      </c>
      <c r="B355" s="5" t="inlineStr">
        <is>
          <t>94</t>
        </is>
      </c>
      <c r="C355" s="5" t="inlineStr">
        <is>
          <t>95</t>
        </is>
      </c>
      <c r="D355" s="4" t="inlineStr">
        <is>
          <t>9(02)</t>
        </is>
      </c>
      <c r="E355" s="4" t="inlineStr">
        <is>
          <t>Mês/Ref</t>
        </is>
      </c>
    </row>
    <row r="356">
      <c r="A356" s="4" t="inlineStr">
        <is>
          <t>20.11</t>
        </is>
      </c>
      <c r="B356" s="5" t="inlineStr">
        <is>
          <t>96</t>
        </is>
      </c>
      <c r="C356" s="5" t="inlineStr">
        <is>
          <t>97</t>
        </is>
      </c>
      <c r="D356" s="4" t="inlineStr">
        <is>
          <t>9(02)</t>
        </is>
      </c>
      <c r="E356" s="4" t="inlineStr">
        <is>
          <t>Código  Fiscal</t>
        </is>
      </c>
    </row>
    <row r="357">
      <c r="A357" s="4" t="inlineStr">
        <is>
          <t>20.12</t>
        </is>
      </c>
      <c r="B357" s="5" t="inlineStr">
        <is>
          <t>98</t>
        </is>
      </c>
      <c r="C357" s="5" t="inlineStr">
        <is>
          <t>173</t>
        </is>
      </c>
      <c r="D357" s="4" t="inlineStr">
        <is>
          <t>X(76)</t>
        </is>
      </c>
      <c r="E357" s="4" t="inlineStr">
        <is>
          <t>Endereço da Empresa</t>
        </is>
      </c>
    </row>
    <row r="358">
      <c r="A358" s="4" t="inlineStr">
        <is>
          <t>20.13</t>
        </is>
      </c>
      <c r="B358" s="5" t="inlineStr">
        <is>
          <t>174</t>
        </is>
      </c>
      <c r="C358" s="5" t="inlineStr">
        <is>
          <t>175</t>
        </is>
      </c>
      <c r="D358" s="4" t="inlineStr">
        <is>
          <t>X(02)</t>
        </is>
      </c>
      <c r="E358" s="4" t="inlineStr">
        <is>
          <t>UF  da  Empresa</t>
        </is>
      </c>
    </row>
    <row r="359">
      <c r="A359" s="4" t="inlineStr">
        <is>
          <t>20.14</t>
        </is>
      </c>
      <c r="B359" s="5" t="inlineStr">
        <is>
          <t>176</t>
        </is>
      </c>
      <c r="C359" s="5" t="inlineStr">
        <is>
          <t>189</t>
        </is>
      </c>
      <c r="D359" s="4" t="inlineStr">
        <is>
          <t>X(14)</t>
        </is>
      </c>
      <c r="E359" s="4" t="inlineStr">
        <is>
          <t>CNPJ  da  Empresa</t>
        </is>
      </c>
    </row>
    <row r="360">
      <c r="A360" s="4" t="inlineStr">
        <is>
          <t>20.15</t>
        </is>
      </c>
      <c r="B360" s="5" t="inlineStr">
        <is>
          <t>190</t>
        </is>
      </c>
      <c r="C360" s="5" t="inlineStr">
        <is>
          <t>204</t>
        </is>
      </c>
      <c r="D360" s="4" t="inlineStr">
        <is>
          <t>X(15)</t>
        </is>
      </c>
      <c r="E360" s="4" t="inlineStr">
        <is>
          <t>Inscrição  Municipal  Empresa</t>
        </is>
      </c>
    </row>
    <row r="361">
      <c r="A361" s="4" t="inlineStr">
        <is>
          <t>20.16</t>
        </is>
      </c>
      <c r="B361" s="5" t="inlineStr">
        <is>
          <t>205</t>
        </is>
      </c>
      <c r="C361" s="5" t="inlineStr">
        <is>
          <t>219</t>
        </is>
      </c>
      <c r="D361" s="4" t="inlineStr">
        <is>
          <t>X(15)</t>
        </is>
      </c>
      <c r="E361" s="4" t="inlineStr">
        <is>
          <t>Inscrição  Estadual  Empresa</t>
        </is>
      </c>
    </row>
    <row r="362">
      <c r="A362" s="4" t="inlineStr">
        <is>
          <t>20.17</t>
        </is>
      </c>
      <c r="B362" s="5" t="inlineStr">
        <is>
          <t>220</t>
        </is>
      </c>
      <c r="C362" s="5" t="inlineStr">
        <is>
          <t>274</t>
        </is>
      </c>
      <c r="D362" s="4" t="inlineStr">
        <is>
          <t>X(55)</t>
        </is>
      </c>
      <c r="E362" s="4" t="inlineStr">
        <is>
          <t>Razão  Social  do  Cliente</t>
        </is>
      </c>
    </row>
    <row r="363">
      <c r="A363" s="4" t="inlineStr">
        <is>
          <t>20.18</t>
        </is>
      </c>
      <c r="B363" s="5" t="inlineStr">
        <is>
          <t>275</t>
        </is>
      </c>
      <c r="C363" s="5" t="inlineStr">
        <is>
          <t>334</t>
        </is>
      </c>
      <c r="D363" s="4" t="inlineStr">
        <is>
          <t>X(60)</t>
        </is>
      </c>
      <c r="E363" s="4" t="inlineStr">
        <is>
          <t>Endereço  Fiscal  do  Cliente</t>
        </is>
      </c>
    </row>
    <row r="364">
      <c r="A364" s="4" t="inlineStr">
        <is>
          <t>20.19</t>
        </is>
      </c>
      <c r="B364" s="5" t="inlineStr">
        <is>
          <t>335</t>
        </is>
      </c>
      <c r="C364" s="5" t="inlineStr">
        <is>
          <t>349</t>
        </is>
      </c>
      <c r="D364" s="4" t="inlineStr">
        <is>
          <t>X(15)</t>
        </is>
      </c>
      <c r="E364" s="4" t="inlineStr">
        <is>
          <t>Município  do  Cliente</t>
        </is>
      </c>
    </row>
    <row r="365">
      <c r="A365" s="4" t="inlineStr">
        <is>
          <t>20.20</t>
        </is>
      </c>
      <c r="B365" s="5" t="inlineStr">
        <is>
          <t>350</t>
        </is>
      </c>
      <c r="C365" s="5" t="inlineStr">
        <is>
          <t>351</t>
        </is>
      </c>
      <c r="D365" s="4" t="inlineStr">
        <is>
          <t>X(02)</t>
        </is>
      </c>
      <c r="E365" s="4" t="inlineStr">
        <is>
          <t>UF  do  Cliente</t>
        </is>
      </c>
    </row>
    <row r="366">
      <c r="A366" s="4" t="inlineStr">
        <is>
          <t>20.21</t>
        </is>
      </c>
      <c r="B366" s="5" t="inlineStr">
        <is>
          <t>352</t>
        </is>
      </c>
      <c r="C366" s="5" t="inlineStr">
        <is>
          <t>365</t>
        </is>
      </c>
      <c r="D366" s="4" t="inlineStr">
        <is>
          <t>X(14)</t>
        </is>
      </c>
      <c r="E366" s="4" t="inlineStr">
        <is>
          <t>CNPJ  do  Cliente</t>
        </is>
      </c>
    </row>
    <row r="367">
      <c r="A367" s="4" t="inlineStr">
        <is>
          <t>20.22</t>
        </is>
      </c>
      <c r="B367" s="5" t="inlineStr">
        <is>
          <t>366</t>
        </is>
      </c>
      <c r="C367" s="5" t="inlineStr">
        <is>
          <t>380</t>
        </is>
      </c>
      <c r="D367" s="4" t="inlineStr">
        <is>
          <t>X(15)</t>
        </is>
      </c>
      <c r="E367" s="4" t="inlineStr">
        <is>
          <t>Inscrição  Municipal  Cliente</t>
        </is>
      </c>
    </row>
    <row r="368">
      <c r="A368" s="4" t="inlineStr">
        <is>
          <t>20.23</t>
        </is>
      </c>
      <c r="B368" s="5" t="inlineStr">
        <is>
          <t>381</t>
        </is>
      </c>
      <c r="C368" s="5" t="inlineStr">
        <is>
          <t>395</t>
        </is>
      </c>
      <c r="D368" s="4" t="inlineStr">
        <is>
          <t>X(15)</t>
        </is>
      </c>
      <c r="E368" s="4" t="inlineStr">
        <is>
          <t>Inscrição  Estadual  Cliente</t>
        </is>
      </c>
    </row>
    <row r="369">
      <c r="A369" s="4" t="inlineStr">
        <is>
          <t>20.24</t>
        </is>
      </c>
      <c r="B369" s="5" t="inlineStr">
        <is>
          <t>396</t>
        </is>
      </c>
      <c r="C369" s="5" t="inlineStr">
        <is>
          <t>402</t>
        </is>
      </c>
      <c r="D369" s="4" t="inlineStr">
        <is>
          <t>9(07)</t>
        </is>
      </c>
      <c r="E369" s="4" t="inlineStr">
        <is>
          <t>Cód.  Estabelecimento</t>
        </is>
      </c>
    </row>
    <row r="370">
      <c r="A370" s="4" t="inlineStr">
        <is>
          <t>20.25</t>
        </is>
      </c>
      <c r="B370" s="5" t="inlineStr">
        <is>
          <t>403</t>
        </is>
      </c>
      <c r="C370" s="5" t="inlineStr">
        <is>
          <t>422</t>
        </is>
      </c>
      <c r="D370" s="4" t="inlineStr">
        <is>
          <t>X(20)</t>
        </is>
      </c>
      <c r="E370" s="4" t="inlineStr">
        <is>
          <t>Código  de  Segurança</t>
        </is>
      </c>
    </row>
    <row r="371">
      <c r="A371" s="4" t="inlineStr">
        <is>
          <t>20.26</t>
        </is>
      </c>
      <c r="B371" s="5" t="inlineStr">
        <is>
          <t>423</t>
        </is>
      </c>
      <c r="C371" s="5" t="inlineStr">
        <is>
          <t>423</t>
        </is>
      </c>
      <c r="D371" s="4" t="inlineStr">
        <is>
          <t>9(01)</t>
        </is>
      </c>
      <c r="E371" s="4" t="inlineStr">
        <is>
          <t>Código Empresa ISS - Nota Fiscal ISS (Logo e papel)</t>
        </is>
      </c>
    </row>
    <row r="372">
      <c r="A372" s="4" t="inlineStr">
        <is>
          <t>20.27</t>
        </is>
      </c>
      <c r="B372" s="5" t="inlineStr">
        <is>
          <t>424</t>
        </is>
      </c>
      <c r="C372" s="5" t="inlineStr">
        <is>
          <t>473</t>
        </is>
      </c>
      <c r="D372" s="4" t="inlineStr">
        <is>
          <t>X(50)</t>
        </is>
      </c>
      <c r="E372" s="4" t="inlineStr">
        <is>
          <t>Descrição-título-nota-ISS</t>
        </is>
      </c>
    </row>
    <row r="373">
      <c r="A373" s="4" t="inlineStr">
        <is>
          <t>20.28</t>
        </is>
      </c>
      <c r="B373" s="5" t="inlineStr">
        <is>
          <t>474</t>
        </is>
      </c>
      <c r="C373" s="5" t="inlineStr">
        <is>
          <t>476</t>
        </is>
      </c>
      <c r="D373" s="4" t="inlineStr">
        <is>
          <t>X(03)</t>
        </is>
      </c>
      <c r="E373" s="4" t="inlineStr">
        <is>
          <t>Código da Empresa – Nota Fiscal ISS</t>
        </is>
      </c>
    </row>
    <row r="374">
      <c r="A374" s="4" t="inlineStr">
        <is>
          <t>20.29</t>
        </is>
      </c>
      <c r="B374" s="5" t="inlineStr">
        <is>
          <t>477</t>
        </is>
      </c>
      <c r="C374" s="5" t="inlineStr">
        <is>
          <t>479</t>
        </is>
      </c>
      <c r="D374" s="4" t="inlineStr">
        <is>
          <t>X(03)</t>
        </is>
      </c>
      <c r="E374" s="4" t="inlineStr">
        <is>
          <t>Código da Empresa – Nota Fiscal ISS</t>
        </is>
      </c>
    </row>
    <row r="375">
      <c r="A375" s="4" t="inlineStr">
        <is>
          <t>20.30</t>
        </is>
      </c>
      <c r="B375" s="5" t="inlineStr">
        <is>
          <t>480</t>
        </is>
      </c>
      <c r="C375" s="5" t="inlineStr">
        <is>
          <t>550</t>
        </is>
      </c>
      <c r="D375" s="4" t="inlineStr">
        <is>
          <t>X(71)</t>
        </is>
      </c>
      <c r="E375" s="4" t="inlineStr">
        <is>
          <t>Filler</t>
        </is>
      </c>
    </row>
    <row r="376"/>
    <row r="377" ht="25" customHeight="1">
      <c r="A377" s="3" t="inlineStr">
        <is>
          <t>REG 21 - Itens ISS (Mod22)</t>
        </is>
      </c>
      <c r="B377" s="6" t="n"/>
      <c r="C377" s="6" t="n"/>
      <c r="D377" s="6" t="n"/>
      <c r="E377" s="7" t="n"/>
    </row>
    <row r="378">
      <c r="A378" s="4" t="inlineStr">
        <is>
          <t>21.01</t>
        </is>
      </c>
      <c r="B378" s="5" t="inlineStr">
        <is>
          <t>1</t>
        </is>
      </c>
      <c r="C378" s="5" t="inlineStr">
        <is>
          <t>2</t>
        </is>
      </c>
      <c r="D378" s="4" t="inlineStr">
        <is>
          <t>9(02)</t>
        </is>
      </c>
      <c r="E378" s="4" t="inlineStr">
        <is>
          <t>Tipo de Registro = 21</t>
        </is>
      </c>
    </row>
    <row r="379">
      <c r="A379" s="4" t="inlineStr">
        <is>
          <t>21.02</t>
        </is>
      </c>
      <c r="B379" s="5" t="inlineStr">
        <is>
          <t>3</t>
        </is>
      </c>
      <c r="C379" s="5" t="inlineStr">
        <is>
          <t>7</t>
        </is>
      </c>
      <c r="D379" s="4" t="inlineStr">
        <is>
          <t>X(05)</t>
        </is>
      </c>
      <c r="E379" s="4" t="inlineStr">
        <is>
          <t>Cód-Sigla-Serviço</t>
        </is>
      </c>
    </row>
    <row r="380">
      <c r="A380" s="4" t="inlineStr">
        <is>
          <t>21.03</t>
        </is>
      </c>
      <c r="B380" s="5" t="inlineStr">
        <is>
          <t>8</t>
        </is>
      </c>
      <c r="C380" s="5" t="inlineStr">
        <is>
          <t>27</t>
        </is>
      </c>
      <c r="D380" s="4" t="inlineStr">
        <is>
          <t>X(20)</t>
        </is>
      </c>
      <c r="E380" s="4" t="inlineStr">
        <is>
          <t>Designação</t>
        </is>
      </c>
    </row>
    <row r="381">
      <c r="A381" s="4" t="inlineStr">
        <is>
          <t>21.04</t>
        </is>
      </c>
      <c r="B381" s="5" t="inlineStr">
        <is>
          <t>28</t>
        </is>
      </c>
      <c r="C381" s="5" t="inlineStr">
        <is>
          <t>147</t>
        </is>
      </c>
      <c r="D381" s="4" t="inlineStr">
        <is>
          <t>X(120)</t>
        </is>
      </c>
      <c r="E381" s="4" t="inlineStr">
        <is>
          <t>Descrição  do Item</t>
        </is>
      </c>
    </row>
    <row r="382">
      <c r="A382" s="4" t="inlineStr">
        <is>
          <t>21.05</t>
        </is>
      </c>
      <c r="B382" s="5" t="inlineStr">
        <is>
          <t>148</t>
        </is>
      </c>
      <c r="C382" s="5" t="inlineStr">
        <is>
          <t>153</t>
        </is>
      </c>
      <c r="D382" s="4" t="inlineStr">
        <is>
          <t>9(04)V99</t>
        </is>
      </c>
      <c r="E382" s="4" t="inlineStr">
        <is>
          <t>Quantidade</t>
        </is>
      </c>
    </row>
    <row r="383">
      <c r="A383" s="4" t="inlineStr">
        <is>
          <t>21.06</t>
        </is>
      </c>
      <c r="B383" s="5" t="inlineStr">
        <is>
          <t>154</t>
        </is>
      </c>
      <c r="C383" s="5" t="inlineStr">
        <is>
          <t>154</t>
        </is>
      </c>
      <c r="D383" s="4" t="inlineStr">
        <is>
          <t>X(01)</t>
        </is>
      </c>
      <c r="E383" s="4">
        <f> C, Quando  o  valor for negativo</f>
        <v/>
      </c>
    </row>
    <row r="384">
      <c r="A384" s="4" t="inlineStr">
        <is>
          <t>21.07</t>
        </is>
      </c>
      <c r="B384" s="5" t="inlineStr">
        <is>
          <t>155</t>
        </is>
      </c>
      <c r="C384" s="5" t="inlineStr">
        <is>
          <t>165</t>
        </is>
      </c>
      <c r="D384" s="4" t="inlineStr">
        <is>
          <t>9(09)V99</t>
        </is>
      </c>
      <c r="E384" s="4" t="inlineStr">
        <is>
          <t>Valor  Unitário</t>
        </is>
      </c>
    </row>
    <row r="385">
      <c r="A385" s="4" t="inlineStr">
        <is>
          <t>21.08</t>
        </is>
      </c>
      <c r="B385" s="5" t="inlineStr">
        <is>
          <t>166</t>
        </is>
      </c>
      <c r="C385" s="5" t="inlineStr">
        <is>
          <t>170</t>
        </is>
      </c>
      <c r="D385" s="4" t="inlineStr">
        <is>
          <t>9(03)V99</t>
        </is>
      </c>
      <c r="E385" s="4" t="inlineStr">
        <is>
          <t>Alíquota</t>
        </is>
      </c>
    </row>
    <row r="386">
      <c r="A386" s="4" t="inlineStr">
        <is>
          <t>21.09</t>
        </is>
      </c>
      <c r="B386" s="5" t="inlineStr">
        <is>
          <t>171</t>
        </is>
      </c>
      <c r="C386" s="5" t="inlineStr">
        <is>
          <t>171</t>
        </is>
      </c>
      <c r="D386" s="4" t="inlineStr">
        <is>
          <t>X(01)</t>
        </is>
      </c>
      <c r="E386" s="4">
        <f> C, Quando  o  valor for negativo</f>
        <v/>
      </c>
    </row>
    <row r="387">
      <c r="A387" s="4" t="inlineStr">
        <is>
          <t>21.10</t>
        </is>
      </c>
      <c r="B387" s="5" t="inlineStr">
        <is>
          <t>172</t>
        </is>
      </c>
      <c r="C387" s="5" t="inlineStr">
        <is>
          <t>182</t>
        </is>
      </c>
      <c r="D387" s="4" t="inlineStr">
        <is>
          <t>9(09)V99</t>
        </is>
      </c>
      <c r="E387" s="4" t="inlineStr">
        <is>
          <t>Valor  Total</t>
        </is>
      </c>
    </row>
    <row r="388">
      <c r="A388" s="4" t="inlineStr">
        <is>
          <t>21.11</t>
        </is>
      </c>
      <c r="B388" s="5" t="inlineStr">
        <is>
          <t>183</t>
        </is>
      </c>
      <c r="C388" s="5" t="inlineStr">
        <is>
          <t>183</t>
        </is>
      </c>
      <c r="D388" s="4" t="inlineStr">
        <is>
          <t>X(01)</t>
        </is>
      </c>
      <c r="E388" s="4">
        <f> C, Quando  o  valor for negativo</f>
        <v/>
      </c>
    </row>
    <row r="389">
      <c r="A389" s="4" t="inlineStr">
        <is>
          <t>21.12</t>
        </is>
      </c>
      <c r="B389" s="5" t="inlineStr">
        <is>
          <t>184</t>
        </is>
      </c>
      <c r="C389" s="5" t="inlineStr">
        <is>
          <t>194</t>
        </is>
      </c>
      <c r="D389" s="4" t="inlineStr">
        <is>
          <t>9(09)V99</t>
        </is>
      </c>
      <c r="E389" s="4" t="inlineStr">
        <is>
          <t>Valor  de  ISS</t>
        </is>
      </c>
    </row>
    <row r="390">
      <c r="A390" s="4" t="inlineStr">
        <is>
          <t>21.13</t>
        </is>
      </c>
      <c r="B390" s="5" t="inlineStr">
        <is>
          <t>195</t>
        </is>
      </c>
      <c r="C390" s="5" t="inlineStr">
        <is>
          <t>199</t>
        </is>
      </c>
      <c r="D390" s="4" t="inlineStr">
        <is>
          <t>9(05)</t>
        </is>
      </c>
      <c r="E390" s="4" t="inlineStr">
        <is>
          <t>Código nacional de Localidade (CNL)</t>
        </is>
      </c>
    </row>
    <row r="391">
      <c r="A391" s="4" t="inlineStr">
        <is>
          <t>21.14</t>
        </is>
      </c>
      <c r="B391" s="5" t="inlineStr">
        <is>
          <t>200</t>
        </is>
      </c>
      <c r="C391" s="5" t="inlineStr">
        <is>
          <t>210</t>
        </is>
      </c>
      <c r="D391" s="4" t="inlineStr">
        <is>
          <t>9(09)V99</t>
        </is>
      </c>
      <c r="E391" s="4" t="inlineStr">
        <is>
          <t>Valor do PIS</t>
        </is>
      </c>
    </row>
    <row r="392">
      <c r="A392" s="4" t="inlineStr">
        <is>
          <t>21.15</t>
        </is>
      </c>
      <c r="B392" s="5" t="inlineStr">
        <is>
          <t>211</t>
        </is>
      </c>
      <c r="C392" s="5" t="inlineStr">
        <is>
          <t>221</t>
        </is>
      </c>
      <c r="D392" s="4" t="inlineStr">
        <is>
          <t>9(09)V99</t>
        </is>
      </c>
      <c r="E392" s="4" t="inlineStr">
        <is>
          <t>Valor do COFINS</t>
        </is>
      </c>
    </row>
    <row r="393">
      <c r="A393" s="4" t="inlineStr">
        <is>
          <t>21.16</t>
        </is>
      </c>
      <c r="B393" s="5" t="inlineStr">
        <is>
          <t>222</t>
        </is>
      </c>
      <c r="C393" s="5" t="inlineStr">
        <is>
          <t>550</t>
        </is>
      </c>
      <c r="D393" s="4" t="inlineStr">
        <is>
          <t>X(329)</t>
        </is>
      </c>
      <c r="E393" s="4" t="inlineStr">
        <is>
          <t>Filler</t>
        </is>
      </c>
    </row>
    <row r="394"/>
    <row r="395" ht="25" customHeight="1">
      <c r="A395" s="3" t="inlineStr">
        <is>
          <t>REG 22 - Total ISS (Mod22)</t>
        </is>
      </c>
      <c r="B395" s="6" t="n"/>
      <c r="C395" s="6" t="n"/>
      <c r="D395" s="6" t="n"/>
      <c r="E395" s="7" t="n"/>
    </row>
    <row r="396">
      <c r="A396" s="4" t="inlineStr">
        <is>
          <t>22.01</t>
        </is>
      </c>
      <c r="B396" s="5" t="inlineStr">
        <is>
          <t>1</t>
        </is>
      </c>
      <c r="C396" s="5" t="inlineStr">
        <is>
          <t>2</t>
        </is>
      </c>
      <c r="D396" s="4" t="inlineStr">
        <is>
          <t>9(02)</t>
        </is>
      </c>
      <c r="E396" s="4" t="inlineStr">
        <is>
          <t>Tipo de Registro = 22</t>
        </is>
      </c>
    </row>
    <row r="397">
      <c r="A397" s="4" t="inlineStr">
        <is>
          <t>22.02</t>
        </is>
      </c>
      <c r="B397" s="5" t="inlineStr">
        <is>
          <t>3</t>
        </is>
      </c>
      <c r="C397" s="5" t="inlineStr">
        <is>
          <t>3</t>
        </is>
      </c>
      <c r="D397" s="4" t="inlineStr">
        <is>
          <t>X(01)</t>
        </is>
      </c>
      <c r="E397" s="4">
        <f> C, Quando  o  valor for negativo</f>
        <v/>
      </c>
    </row>
    <row r="398">
      <c r="A398" s="4" t="inlineStr">
        <is>
          <t>22.03</t>
        </is>
      </c>
      <c r="B398" s="5" t="inlineStr">
        <is>
          <t>4</t>
        </is>
      </c>
      <c r="C398" s="5" t="inlineStr">
        <is>
          <t>15</t>
        </is>
      </c>
      <c r="D398" s="4" t="inlineStr">
        <is>
          <t>9(10)V99</t>
        </is>
      </c>
      <c r="E398" s="4" t="inlineStr">
        <is>
          <t>Valor  Total  da  Nota</t>
        </is>
      </c>
    </row>
    <row r="399">
      <c r="A399" s="4" t="inlineStr">
        <is>
          <t>22.04</t>
        </is>
      </c>
      <c r="B399" s="5" t="inlineStr">
        <is>
          <t>16</t>
        </is>
      </c>
      <c r="C399" s="5" t="inlineStr">
        <is>
          <t>27</t>
        </is>
      </c>
      <c r="D399" s="4" t="inlineStr">
        <is>
          <t>9(10)V99</t>
        </is>
      </c>
      <c r="E399" s="4" t="inlineStr">
        <is>
          <t>Valor-Total-ISS-Nota</t>
        </is>
      </c>
    </row>
    <row r="400">
      <c r="A400" s="4" t="inlineStr">
        <is>
          <t>22.05</t>
        </is>
      </c>
      <c r="B400" s="5" t="inlineStr">
        <is>
          <t>28</t>
        </is>
      </c>
      <c r="C400" s="5" t="inlineStr">
        <is>
          <t>550</t>
        </is>
      </c>
      <c r="D400" s="4" t="inlineStr">
        <is>
          <t>X(523)</t>
        </is>
      </c>
      <c r="E400" s="4" t="inlineStr">
        <is>
          <t>Filler</t>
        </is>
      </c>
    </row>
    <row r="401"/>
    <row r="402" ht="25" customHeight="1">
      <c r="A402" s="3" t="inlineStr">
        <is>
          <t>REG 23 - Msgs ISS (Mod22)</t>
        </is>
      </c>
      <c r="B402" s="6" t="n"/>
      <c r="C402" s="6" t="n"/>
      <c r="D402" s="6" t="n"/>
      <c r="E402" s="7" t="n"/>
    </row>
    <row r="403">
      <c r="A403" s="4" t="inlineStr">
        <is>
          <t>23.01</t>
        </is>
      </c>
      <c r="B403" s="5" t="inlineStr">
        <is>
          <t>1</t>
        </is>
      </c>
      <c r="C403" s="5" t="inlineStr">
        <is>
          <t>2</t>
        </is>
      </c>
      <c r="D403" s="4" t="inlineStr">
        <is>
          <t>9(02)</t>
        </is>
      </c>
      <c r="E403" s="4" t="inlineStr">
        <is>
          <t>Tipo de Registro = 23</t>
        </is>
      </c>
    </row>
    <row r="404">
      <c r="A404" s="4" t="inlineStr">
        <is>
          <t>23.02</t>
        </is>
      </c>
      <c r="B404" s="5" t="inlineStr">
        <is>
          <t>3</t>
        </is>
      </c>
      <c r="C404" s="5" t="inlineStr">
        <is>
          <t>62</t>
        </is>
      </c>
      <c r="D404" s="4" t="inlineStr">
        <is>
          <t>X(60)</t>
        </is>
      </c>
      <c r="E404" s="4" t="inlineStr">
        <is>
          <t>Mensagem  1</t>
        </is>
      </c>
    </row>
    <row r="405">
      <c r="A405" s="4" t="inlineStr">
        <is>
          <t>23.03</t>
        </is>
      </c>
      <c r="B405" s="5" t="inlineStr">
        <is>
          <t>63</t>
        </is>
      </c>
      <c r="C405" s="5" t="inlineStr">
        <is>
          <t>122</t>
        </is>
      </c>
      <c r="D405" s="4" t="inlineStr">
        <is>
          <t>X(60)</t>
        </is>
      </c>
      <c r="E405" s="4" t="inlineStr">
        <is>
          <t>Mensagem  2</t>
        </is>
      </c>
    </row>
    <row r="406">
      <c r="A406" s="4" t="inlineStr">
        <is>
          <t>23.04</t>
        </is>
      </c>
      <c r="B406" s="5" t="inlineStr">
        <is>
          <t>123</t>
        </is>
      </c>
      <c r="C406" s="5" t="inlineStr">
        <is>
          <t>182</t>
        </is>
      </c>
      <c r="D406" s="4" t="inlineStr">
        <is>
          <t>X(60)</t>
        </is>
      </c>
      <c r="E406" s="4" t="inlineStr">
        <is>
          <t>Mensagem  3</t>
        </is>
      </c>
    </row>
    <row r="407">
      <c r="A407" s="4" t="inlineStr">
        <is>
          <t>23.05</t>
        </is>
      </c>
      <c r="B407" s="5" t="inlineStr">
        <is>
          <t>183</t>
        </is>
      </c>
      <c r="C407" s="5" t="inlineStr">
        <is>
          <t>242</t>
        </is>
      </c>
      <c r="D407" s="4" t="inlineStr">
        <is>
          <t>X(60)</t>
        </is>
      </c>
      <c r="E407" s="4" t="inlineStr">
        <is>
          <t>Mensagem  4</t>
        </is>
      </c>
    </row>
    <row r="408">
      <c r="A408" s="4" t="inlineStr">
        <is>
          <t>23.06</t>
        </is>
      </c>
      <c r="B408" s="5" t="inlineStr">
        <is>
          <t>243</t>
        </is>
      </c>
      <c r="C408" s="5" t="inlineStr">
        <is>
          <t>302</t>
        </is>
      </c>
      <c r="D408" s="4" t="inlineStr">
        <is>
          <t>X(60)</t>
        </is>
      </c>
      <c r="E408" s="4" t="inlineStr">
        <is>
          <t>Mensagem  5</t>
        </is>
      </c>
    </row>
    <row r="409">
      <c r="A409" s="4" t="inlineStr">
        <is>
          <t>23.07</t>
        </is>
      </c>
      <c r="B409" s="5" t="inlineStr">
        <is>
          <t>303</t>
        </is>
      </c>
      <c r="C409" s="5" t="inlineStr">
        <is>
          <t>362</t>
        </is>
      </c>
      <c r="D409" s="4" t="inlineStr">
        <is>
          <t>X(60)</t>
        </is>
      </c>
      <c r="E409" s="4" t="inlineStr">
        <is>
          <t>Mensagem  6</t>
        </is>
      </c>
    </row>
    <row r="410">
      <c r="A410" s="4" t="inlineStr">
        <is>
          <t>23.08</t>
        </is>
      </c>
      <c r="B410" s="5" t="inlineStr">
        <is>
          <t>363</t>
        </is>
      </c>
      <c r="C410" s="5" t="inlineStr">
        <is>
          <t>550</t>
        </is>
      </c>
      <c r="D410" s="4" t="inlineStr">
        <is>
          <t>X(188)</t>
        </is>
      </c>
      <c r="E410" s="4" t="inlineStr">
        <is>
          <t>Filler</t>
        </is>
      </c>
    </row>
    <row r="411"/>
    <row r="412" ht="25" customHeight="1">
      <c r="A412" s="3" t="inlineStr">
        <is>
          <t>REG 24 - Rodapé ISS (Mod22)</t>
        </is>
      </c>
      <c r="B412" s="6" t="n"/>
      <c r="C412" s="6" t="n"/>
      <c r="D412" s="6" t="n"/>
      <c r="E412" s="7" t="n"/>
    </row>
    <row r="413">
      <c r="A413" s="4" t="inlineStr">
        <is>
          <t>24.01</t>
        </is>
      </c>
      <c r="B413" s="5" t="inlineStr">
        <is>
          <t>1</t>
        </is>
      </c>
      <c r="C413" s="5" t="inlineStr">
        <is>
          <t>2</t>
        </is>
      </c>
      <c r="D413" s="4" t="inlineStr">
        <is>
          <t>9(02)</t>
        </is>
      </c>
      <c r="E413" s="4" t="inlineStr">
        <is>
          <t>Tipo de Registro = 24</t>
        </is>
      </c>
    </row>
    <row r="414">
      <c r="A414" s="4" t="inlineStr">
        <is>
          <t>24.02</t>
        </is>
      </c>
      <c r="B414" s="5" t="inlineStr">
        <is>
          <t>3</t>
        </is>
      </c>
      <c r="C414" s="5" t="inlineStr">
        <is>
          <t>52</t>
        </is>
      </c>
      <c r="D414" s="4" t="inlineStr">
        <is>
          <t>X(50)</t>
        </is>
      </c>
      <c r="E414" s="4" t="inlineStr">
        <is>
          <t>Código  AIDF</t>
        </is>
      </c>
    </row>
    <row r="415">
      <c r="A415" s="4" t="inlineStr">
        <is>
          <t>24.03</t>
        </is>
      </c>
      <c r="B415" s="5" t="inlineStr">
        <is>
          <t>53</t>
        </is>
      </c>
      <c r="C415" s="5" t="inlineStr">
        <is>
          <t>550</t>
        </is>
      </c>
      <c r="D415" s="4" t="inlineStr">
        <is>
          <t>X(498)</t>
        </is>
      </c>
      <c r="E415" s="4" t="inlineStr">
        <is>
          <t>Filler</t>
        </is>
      </c>
    </row>
    <row r="416"/>
    <row r="417" ht="25" customHeight="1">
      <c r="A417" s="3" t="inlineStr">
        <is>
          <t>REG 30 - Recibo (Mod22)</t>
        </is>
      </c>
      <c r="B417" s="6" t="n"/>
      <c r="C417" s="6" t="n"/>
      <c r="D417" s="6" t="n"/>
      <c r="E417" s="7" t="n"/>
    </row>
    <row r="418">
      <c r="A418" s="4" t="inlineStr">
        <is>
          <t>30.01</t>
        </is>
      </c>
      <c r="B418" s="5" t="inlineStr">
        <is>
          <t>1</t>
        </is>
      </c>
      <c r="C418" s="5" t="inlineStr">
        <is>
          <t>2</t>
        </is>
      </c>
      <c r="D418" s="4" t="inlineStr">
        <is>
          <t>9(02)</t>
        </is>
      </c>
      <c r="E418" s="4" t="inlineStr">
        <is>
          <t>Tipo de Registro = 30</t>
        </is>
      </c>
    </row>
    <row r="419">
      <c r="A419" s="4" t="inlineStr">
        <is>
          <t>30.02</t>
        </is>
      </c>
      <c r="B419" s="5" t="inlineStr">
        <is>
          <t>3</t>
        </is>
      </c>
      <c r="C419" s="5" t="inlineStr">
        <is>
          <t>17</t>
        </is>
      </c>
      <c r="D419" s="4" t="inlineStr">
        <is>
          <t>9(15)</t>
        </is>
      </c>
      <c r="E419" s="4" t="inlineStr">
        <is>
          <t>Código  do  Cliente</t>
        </is>
      </c>
    </row>
    <row r="420">
      <c r="A420" s="4" t="inlineStr">
        <is>
          <t>30.03</t>
        </is>
      </c>
      <c r="B420" s="5" t="inlineStr">
        <is>
          <t>18</t>
        </is>
      </c>
      <c r="C420" s="5" t="inlineStr">
        <is>
          <t>29</t>
        </is>
      </c>
      <c r="D420" s="4" t="inlineStr">
        <is>
          <t>9(12)</t>
        </is>
      </c>
      <c r="E420" s="4" t="inlineStr">
        <is>
          <t>Número  do  Recibo (AAMMLLLXXXXX)</t>
        </is>
      </c>
    </row>
    <row r="421">
      <c r="A421" s="4" t="inlineStr">
        <is>
          <t>30.04</t>
        </is>
      </c>
      <c r="B421" s="5" t="inlineStr">
        <is>
          <t>30</t>
        </is>
      </c>
      <c r="C421" s="5" t="inlineStr">
        <is>
          <t>84</t>
        </is>
      </c>
      <c r="D421" s="4" t="inlineStr">
        <is>
          <t>X(55)</t>
        </is>
      </c>
      <c r="E421" s="4" t="inlineStr">
        <is>
          <t>Razão  Social</t>
        </is>
      </c>
    </row>
    <row r="422">
      <c r="A422" s="4" t="inlineStr">
        <is>
          <t>30.05</t>
        </is>
      </c>
      <c r="B422" s="5" t="inlineStr">
        <is>
          <t>85</t>
        </is>
      </c>
      <c r="C422" s="5" t="inlineStr">
        <is>
          <t>144</t>
        </is>
      </c>
      <c r="D422" s="4" t="inlineStr">
        <is>
          <t>X(60)</t>
        </is>
      </c>
      <c r="E422" s="4" t="inlineStr">
        <is>
          <t>Endereço  Cobrança</t>
        </is>
      </c>
    </row>
    <row r="423">
      <c r="A423" s="4" t="inlineStr">
        <is>
          <t>30.06</t>
        </is>
      </c>
      <c r="B423" s="5" t="inlineStr">
        <is>
          <t>145</t>
        </is>
      </c>
      <c r="C423" s="5" t="inlineStr">
        <is>
          <t>146</t>
        </is>
      </c>
      <c r="D423" s="4" t="inlineStr">
        <is>
          <t>X(02)</t>
        </is>
      </c>
      <c r="E423" s="4" t="inlineStr">
        <is>
          <t>UF-Cobrança</t>
        </is>
      </c>
    </row>
    <row r="424">
      <c r="A424" s="4" t="inlineStr">
        <is>
          <t>30.07</t>
        </is>
      </c>
      <c r="B424" s="5" t="inlineStr">
        <is>
          <t>147</t>
        </is>
      </c>
      <c r="C424" s="5" t="inlineStr">
        <is>
          <t>186</t>
        </is>
      </c>
      <c r="D424" s="4" t="inlineStr">
        <is>
          <t>X(40)</t>
        </is>
      </c>
      <c r="E424" s="4" t="inlineStr">
        <is>
          <t>Localidade</t>
        </is>
      </c>
    </row>
    <row r="425">
      <c r="A425" s="4" t="inlineStr">
        <is>
          <t>30.08</t>
        </is>
      </c>
      <c r="B425" s="5" t="inlineStr">
        <is>
          <t>187</t>
        </is>
      </c>
      <c r="C425" s="5" t="inlineStr">
        <is>
          <t>200</t>
        </is>
      </c>
      <c r="D425" s="4" t="inlineStr">
        <is>
          <t>X(14)</t>
        </is>
      </c>
      <c r="E425" s="4" t="inlineStr">
        <is>
          <t>CNPJ</t>
        </is>
      </c>
    </row>
    <row r="426">
      <c r="A426" s="4" t="inlineStr">
        <is>
          <t>30.09</t>
        </is>
      </c>
      <c r="B426" s="5" t="inlineStr">
        <is>
          <t>201</t>
        </is>
      </c>
      <c r="C426" s="5" t="inlineStr">
        <is>
          <t>215</t>
        </is>
      </c>
      <c r="D426" s="4" t="inlineStr">
        <is>
          <t>X(15)</t>
        </is>
      </c>
      <c r="E426" s="4" t="inlineStr">
        <is>
          <t>Inscrição  Estadual</t>
        </is>
      </c>
    </row>
    <row r="427">
      <c r="A427" s="4" t="inlineStr">
        <is>
          <t>30.10</t>
        </is>
      </c>
      <c r="B427" s="5" t="inlineStr">
        <is>
          <t>216</t>
        </is>
      </c>
      <c r="C427" s="5" t="inlineStr">
        <is>
          <t>229</t>
        </is>
      </c>
      <c r="D427" s="4" t="inlineStr">
        <is>
          <t>X(14)</t>
        </is>
      </c>
      <c r="E427" s="4" t="inlineStr">
        <is>
          <t>Inscrição  Municipal</t>
        </is>
      </c>
    </row>
    <row r="428">
      <c r="A428" s="4" t="inlineStr">
        <is>
          <t>30.11</t>
        </is>
      </c>
      <c r="B428" s="5" t="inlineStr">
        <is>
          <t>230</t>
        </is>
      </c>
      <c r="C428" s="5" t="inlineStr">
        <is>
          <t>241</t>
        </is>
      </c>
      <c r="D428" s="4" t="inlineStr">
        <is>
          <t>9(12)</t>
        </is>
      </c>
      <c r="E428" s="4" t="inlineStr">
        <is>
          <t>Número  CPS</t>
        </is>
      </c>
    </row>
    <row r="429">
      <c r="A429" s="4" t="inlineStr">
        <is>
          <t>30.12</t>
        </is>
      </c>
      <c r="B429" s="5" t="inlineStr">
        <is>
          <t>242</t>
        </is>
      </c>
      <c r="C429" s="5" t="inlineStr">
        <is>
          <t>249</t>
        </is>
      </c>
      <c r="D429" s="4" t="inlineStr">
        <is>
          <t>9(08)</t>
        </is>
      </c>
      <c r="E429" s="4" t="inlineStr">
        <is>
          <t>Data  Emissão (DDMMAAAA)</t>
        </is>
      </c>
    </row>
    <row r="430">
      <c r="A430" s="4" t="inlineStr">
        <is>
          <t>30.13</t>
        </is>
      </c>
      <c r="B430" s="5" t="inlineStr">
        <is>
          <t>250</t>
        </is>
      </c>
      <c r="C430" s="5" t="inlineStr">
        <is>
          <t>550</t>
        </is>
      </c>
      <c r="D430" s="4" t="inlineStr">
        <is>
          <t>X(301)</t>
        </is>
      </c>
      <c r="E430" s="4" t="inlineStr">
        <is>
          <t>Filler</t>
        </is>
      </c>
    </row>
    <row r="431"/>
    <row r="432" ht="25" customHeight="1">
      <c r="A432" s="3" t="inlineStr">
        <is>
          <t>REG 31 - Itens Recibo (Mod22)</t>
        </is>
      </c>
      <c r="B432" s="6" t="n"/>
      <c r="C432" s="6" t="n"/>
      <c r="D432" s="6" t="n"/>
      <c r="E432" s="7" t="n"/>
    </row>
    <row r="433">
      <c r="A433" s="4" t="inlineStr">
        <is>
          <t>31.01</t>
        </is>
      </c>
      <c r="B433" s="5" t="inlineStr">
        <is>
          <t>1</t>
        </is>
      </c>
      <c r="C433" s="5" t="inlineStr">
        <is>
          <t>2</t>
        </is>
      </c>
      <c r="D433" s="4" t="inlineStr">
        <is>
          <t>9(02)</t>
        </is>
      </c>
      <c r="E433" s="4" t="inlineStr">
        <is>
          <t>Tipo de Registro = 31</t>
        </is>
      </c>
    </row>
    <row r="434">
      <c r="A434" s="4" t="inlineStr">
        <is>
          <t>31.02</t>
        </is>
      </c>
      <c r="B434" s="5" t="inlineStr">
        <is>
          <t>3</t>
        </is>
      </c>
      <c r="C434" s="5" t="inlineStr">
        <is>
          <t>7</t>
        </is>
      </c>
      <c r="D434" s="4" t="inlineStr">
        <is>
          <t>X(05)</t>
        </is>
      </c>
      <c r="E434" s="4" t="inlineStr">
        <is>
          <t>Sigla  de  Serviço</t>
        </is>
      </c>
    </row>
    <row r="435">
      <c r="A435" s="4" t="inlineStr">
        <is>
          <t>31.03</t>
        </is>
      </c>
      <c r="B435" s="5" t="inlineStr">
        <is>
          <t>8</t>
        </is>
      </c>
      <c r="C435" s="5" t="inlineStr">
        <is>
          <t>57</t>
        </is>
      </c>
      <c r="D435" s="4" t="inlineStr">
        <is>
          <t>X(50)</t>
        </is>
      </c>
      <c r="E435" s="4" t="inlineStr">
        <is>
          <t>Descrição  Serviço</t>
        </is>
      </c>
    </row>
    <row r="436">
      <c r="A436" s="4" t="inlineStr">
        <is>
          <t>31.04</t>
        </is>
      </c>
      <c r="B436" s="5" t="inlineStr">
        <is>
          <t>58</t>
        </is>
      </c>
      <c r="C436" s="5" t="inlineStr">
        <is>
          <t>58</t>
        </is>
      </c>
      <c r="D436" s="4" t="inlineStr">
        <is>
          <t>X(01)</t>
        </is>
      </c>
      <c r="E436" s="4">
        <f> C, Quando  o  valor for negativo,</f>
        <v/>
      </c>
    </row>
    <row r="437">
      <c r="A437" s="4" t="inlineStr">
        <is>
          <t>31.05</t>
        </is>
      </c>
      <c r="B437" s="5" t="inlineStr">
        <is>
          <t>59</t>
        </is>
      </c>
      <c r="C437" s="5" t="inlineStr">
        <is>
          <t>72</t>
        </is>
      </c>
      <c r="D437" s="4" t="inlineStr">
        <is>
          <t>9(12)V99</t>
        </is>
      </c>
      <c r="E437" s="4" t="inlineStr">
        <is>
          <t>Valor</t>
        </is>
      </c>
    </row>
    <row r="438">
      <c r="A438" s="4" t="inlineStr">
        <is>
          <t>31.06</t>
        </is>
      </c>
      <c r="B438" s="5" t="inlineStr">
        <is>
          <t>73</t>
        </is>
      </c>
      <c r="C438" s="5" t="inlineStr">
        <is>
          <t>550</t>
        </is>
      </c>
      <c r="D438" s="4" t="inlineStr">
        <is>
          <t>X(478)</t>
        </is>
      </c>
      <c r="E438" s="4" t="inlineStr">
        <is>
          <t>Filler</t>
        </is>
      </c>
    </row>
    <row r="439"/>
    <row r="440" ht="25" customHeight="1">
      <c r="A440" s="3" t="inlineStr">
        <is>
          <t>REG 32 - Som Recibo (Mod22)</t>
        </is>
      </c>
      <c r="B440" s="6" t="n"/>
      <c r="C440" s="6" t="n"/>
      <c r="D440" s="6" t="n"/>
      <c r="E440" s="7" t="n"/>
    </row>
    <row r="441">
      <c r="A441" s="4" t="inlineStr">
        <is>
          <t>32.01</t>
        </is>
      </c>
      <c r="B441" s="5" t="inlineStr">
        <is>
          <t>1</t>
        </is>
      </c>
      <c r="C441" s="5" t="inlineStr">
        <is>
          <t>2</t>
        </is>
      </c>
      <c r="D441" s="4" t="inlineStr">
        <is>
          <t>9(02)</t>
        </is>
      </c>
      <c r="E441" s="4" t="inlineStr">
        <is>
          <t>Tipo de Registro = 32</t>
        </is>
      </c>
    </row>
    <row r="442">
      <c r="A442" s="4" t="inlineStr">
        <is>
          <t>32.02</t>
        </is>
      </c>
      <c r="B442" s="5" t="inlineStr">
        <is>
          <t>3</t>
        </is>
      </c>
      <c r="C442" s="5" t="inlineStr">
        <is>
          <t>3</t>
        </is>
      </c>
      <c r="D442" s="4" t="inlineStr">
        <is>
          <t>X(01)</t>
        </is>
      </c>
      <c r="E442" s="4">
        <f> C, Quando  o  valor for negativo,</f>
        <v/>
      </c>
    </row>
    <row r="443">
      <c r="A443" s="4" t="inlineStr">
        <is>
          <t>32.03</t>
        </is>
      </c>
      <c r="B443" s="5" t="inlineStr">
        <is>
          <t>4</t>
        </is>
      </c>
      <c r="C443" s="5" t="inlineStr">
        <is>
          <t>17</t>
        </is>
      </c>
      <c r="D443" s="4" t="inlineStr">
        <is>
          <t>9(12)V99</t>
        </is>
      </c>
      <c r="E443" s="4" t="inlineStr">
        <is>
          <t>Valor-Total</t>
        </is>
      </c>
    </row>
    <row r="444">
      <c r="A444" s="4" t="inlineStr">
        <is>
          <t>32.04</t>
        </is>
      </c>
      <c r="B444" s="5" t="inlineStr">
        <is>
          <t>18</t>
        </is>
      </c>
      <c r="C444" s="5" t="inlineStr">
        <is>
          <t>550</t>
        </is>
      </c>
      <c r="D444" s="4" t="inlineStr">
        <is>
          <t>X(533)</t>
        </is>
      </c>
      <c r="E444" s="4" t="inlineStr">
        <is>
          <t>Filler</t>
        </is>
      </c>
    </row>
    <row r="445"/>
    <row r="446" ht="25" customHeight="1">
      <c r="A446" s="3" t="inlineStr">
        <is>
          <t>REG 40 - Cadastro NFCOM</t>
        </is>
      </c>
      <c r="B446" s="6" t="n"/>
      <c r="C446" s="6" t="n"/>
      <c r="D446" s="6" t="n"/>
      <c r="E446" s="7" t="n"/>
    </row>
    <row r="447">
      <c r="A447" s="4" t="inlineStr">
        <is>
          <t>40.01</t>
        </is>
      </c>
      <c r="B447" s="5" t="inlineStr">
        <is>
          <t>1</t>
        </is>
      </c>
      <c r="C447" s="5" t="inlineStr">
        <is>
          <t>2</t>
        </is>
      </c>
      <c r="D447" s="4" t="inlineStr">
        <is>
          <t>9(02)</t>
        </is>
      </c>
      <c r="E447" s="4" t="inlineStr">
        <is>
          <t>Tipo de Registro = 40</t>
        </is>
      </c>
    </row>
    <row r="448">
      <c r="A448" s="4" t="inlineStr">
        <is>
          <t>40.02</t>
        </is>
      </c>
      <c r="B448" s="5" t="inlineStr">
        <is>
          <t>3</t>
        </is>
      </c>
      <c r="C448" s="5" t="inlineStr">
        <is>
          <t>17</t>
        </is>
      </c>
      <c r="D448" s="4" t="inlineStr">
        <is>
          <t>9(15)</t>
        </is>
      </c>
      <c r="E448" s="4" t="inlineStr">
        <is>
          <t>Código de Cliente</t>
        </is>
      </c>
    </row>
    <row r="449">
      <c r="A449" s="4" t="inlineStr">
        <is>
          <t>40.03</t>
        </is>
      </c>
      <c r="B449" s="5" t="inlineStr">
        <is>
          <t>18</t>
        </is>
      </c>
      <c r="C449" s="5" t="inlineStr">
        <is>
          <t>29</t>
        </is>
      </c>
      <c r="D449" s="4" t="inlineStr">
        <is>
          <t>9(12)</t>
        </is>
      </c>
      <c r="E449" s="4" t="inlineStr">
        <is>
          <t>Número da CPS/Fatura</t>
        </is>
      </c>
    </row>
    <row r="450">
      <c r="A450" s="4" t="inlineStr">
        <is>
          <t>40.04</t>
        </is>
      </c>
      <c r="B450" s="5" t="inlineStr">
        <is>
          <t>30</t>
        </is>
      </c>
      <c r="C450" s="5" t="inlineStr">
        <is>
          <t>99</t>
        </is>
      </c>
      <c r="D450" s="4" t="inlineStr">
        <is>
          <t>X(70)</t>
        </is>
      </c>
      <c r="E450" s="4" t="inlineStr">
        <is>
          <t>Endereço da Empresa</t>
        </is>
      </c>
    </row>
    <row r="451">
      <c r="A451" s="4" t="inlineStr">
        <is>
          <t>40.05</t>
        </is>
      </c>
      <c r="B451" s="5" t="inlineStr">
        <is>
          <t>100</t>
        </is>
      </c>
      <c r="C451" s="5" t="inlineStr">
        <is>
          <t>107</t>
        </is>
      </c>
      <c r="D451" s="4" t="inlineStr">
        <is>
          <t>9(08)</t>
        </is>
      </c>
      <c r="E451" s="4" t="inlineStr">
        <is>
          <t>Cep  Empresa</t>
        </is>
      </c>
    </row>
    <row r="452">
      <c r="A452" s="4" t="inlineStr">
        <is>
          <t>40.06</t>
        </is>
      </c>
      <c r="B452" s="5" t="inlineStr">
        <is>
          <t>108</t>
        </is>
      </c>
      <c r="C452" s="5" t="inlineStr">
        <is>
          <t>162</t>
        </is>
      </c>
      <c r="D452" s="4" t="inlineStr">
        <is>
          <t>X(55)</t>
        </is>
      </c>
      <c r="E452" s="4" t="inlineStr">
        <is>
          <t>Nome Município Empresa</t>
        </is>
      </c>
    </row>
    <row r="453">
      <c r="A453" s="4" t="inlineStr">
        <is>
          <t>40.07</t>
        </is>
      </c>
      <c r="B453" s="5" t="inlineStr">
        <is>
          <t>163</t>
        </is>
      </c>
      <c r="C453" s="5" t="inlineStr">
        <is>
          <t>176</t>
        </is>
      </c>
      <c r="D453" s="4" t="inlineStr">
        <is>
          <t>X(14)</t>
        </is>
      </c>
      <c r="E453" s="4" t="inlineStr">
        <is>
          <t>CNPJ  da  Empresa</t>
        </is>
      </c>
    </row>
    <row r="454">
      <c r="A454" s="4" t="inlineStr">
        <is>
          <t>40.08</t>
        </is>
      </c>
      <c r="B454" s="5" t="inlineStr">
        <is>
          <t>177</t>
        </is>
      </c>
      <c r="C454" s="5" t="inlineStr">
        <is>
          <t>191</t>
        </is>
      </c>
      <c r="D454" s="4" t="inlineStr">
        <is>
          <t>X(15)</t>
        </is>
      </c>
      <c r="E454" s="4" t="inlineStr">
        <is>
          <t>Inscrição Estadual  Empresa</t>
        </is>
      </c>
    </row>
    <row r="455">
      <c r="A455" s="4" t="inlineStr">
        <is>
          <t>40.09</t>
        </is>
      </c>
      <c r="B455" s="5" t="inlineStr">
        <is>
          <t>192</t>
        </is>
      </c>
      <c r="C455" s="5" t="inlineStr">
        <is>
          <t>248</t>
        </is>
      </c>
      <c r="D455" s="4" t="inlineStr">
        <is>
          <t>X(57)</t>
        </is>
      </c>
      <c r="E455" s="4" t="inlineStr">
        <is>
          <t>Mensagem  Empresa (Regime Especial)</t>
        </is>
      </c>
    </row>
    <row r="456">
      <c r="A456" s="4" t="inlineStr">
        <is>
          <t>40.10</t>
        </is>
      </c>
      <c r="B456" s="5" t="inlineStr">
        <is>
          <t>249</t>
        </is>
      </c>
      <c r="C456" s="5" t="inlineStr">
        <is>
          <t>250</t>
        </is>
      </c>
      <c r="D456" s="4" t="inlineStr">
        <is>
          <t>X(02)</t>
        </is>
      </c>
      <c r="E456" s="4" t="inlineStr">
        <is>
          <t>Sigla  da  UF  Empresa</t>
        </is>
      </c>
    </row>
    <row r="457">
      <c r="A457" s="4" t="inlineStr">
        <is>
          <t>40.11</t>
        </is>
      </c>
      <c r="B457" s="5" t="inlineStr">
        <is>
          <t>251</t>
        </is>
      </c>
      <c r="C457" s="5" t="inlineStr">
        <is>
          <t>259</t>
        </is>
      </c>
      <c r="D457" s="4" t="inlineStr">
        <is>
          <t>9(09)</t>
        </is>
      </c>
      <c r="E457" s="4" t="inlineStr">
        <is>
          <t>Número da Nota Fiscal</t>
        </is>
      </c>
    </row>
    <row r="458">
      <c r="A458" s="4" t="inlineStr">
        <is>
          <t>40.12</t>
        </is>
      </c>
      <c r="B458" s="5" t="inlineStr">
        <is>
          <t>260</t>
        </is>
      </c>
      <c r="C458" s="5" t="inlineStr">
        <is>
          <t>262</t>
        </is>
      </c>
      <c r="D458" s="4" t="inlineStr">
        <is>
          <t>X(03)</t>
        </is>
      </c>
      <c r="E458" s="4" t="inlineStr">
        <is>
          <t>Série da Nota Fiscal</t>
        </is>
      </c>
    </row>
    <row r="459">
      <c r="A459" s="4" t="inlineStr">
        <is>
          <t>40.13</t>
        </is>
      </c>
      <c r="B459" s="5" t="inlineStr">
        <is>
          <t>263</t>
        </is>
      </c>
      <c r="C459" s="5" t="inlineStr">
        <is>
          <t>268</t>
        </is>
      </c>
      <c r="D459" s="4" t="inlineStr">
        <is>
          <t>9(06)</t>
        </is>
      </c>
      <c r="E459" s="4" t="inlineStr">
        <is>
          <t>Data Emissão da Nota Fiscal (DDMMAA)</t>
        </is>
      </c>
    </row>
    <row r="460">
      <c r="A460" s="4" t="inlineStr">
        <is>
          <t>40.14</t>
        </is>
      </c>
      <c r="B460" s="5" t="inlineStr">
        <is>
          <t>269</t>
        </is>
      </c>
      <c r="C460" s="5" t="inlineStr">
        <is>
          <t>323</t>
        </is>
      </c>
      <c r="D460" s="4" t="inlineStr">
        <is>
          <t>X(55)</t>
        </is>
      </c>
      <c r="E460" s="4" t="inlineStr">
        <is>
          <t>Razão Social do Cliente</t>
        </is>
      </c>
    </row>
    <row r="461">
      <c r="A461" s="4" t="inlineStr">
        <is>
          <t>40.15</t>
        </is>
      </c>
      <c r="B461" s="5" t="inlineStr">
        <is>
          <t>324</t>
        </is>
      </c>
      <c r="C461" s="5" t="inlineStr">
        <is>
          <t>383</t>
        </is>
      </c>
      <c r="D461" s="4" t="inlineStr">
        <is>
          <t>X(60)</t>
        </is>
      </c>
      <c r="E461" s="4" t="inlineStr">
        <is>
          <t>Endereço Fiscal Cliente</t>
        </is>
      </c>
    </row>
    <row r="462">
      <c r="A462" s="4" t="inlineStr">
        <is>
          <t>40.16</t>
        </is>
      </c>
      <c r="B462" s="5" t="inlineStr">
        <is>
          <t>384</t>
        </is>
      </c>
      <c r="C462" s="5" t="inlineStr">
        <is>
          <t>438</t>
        </is>
      </c>
      <c r="D462" s="4" t="inlineStr">
        <is>
          <t>X(55)</t>
        </is>
      </c>
      <c r="E462" s="4" t="inlineStr">
        <is>
          <t>Município Fiscal Cliente</t>
        </is>
      </c>
    </row>
    <row r="463">
      <c r="A463" s="4" t="inlineStr">
        <is>
          <t>40.17</t>
        </is>
      </c>
      <c r="B463" s="5" t="inlineStr">
        <is>
          <t>439</t>
        </is>
      </c>
      <c r="C463" s="5" t="inlineStr">
        <is>
          <t>445</t>
        </is>
      </c>
      <c r="D463" s="4" t="inlineStr">
        <is>
          <t>9(07)</t>
        </is>
      </c>
      <c r="E463" s="4" t="inlineStr">
        <is>
          <t>Cód. Estabelecimento</t>
        </is>
      </c>
    </row>
    <row r="464">
      <c r="A464" s="4" t="inlineStr">
        <is>
          <t>40.18</t>
        </is>
      </c>
      <c r="B464" s="5" t="inlineStr">
        <is>
          <t>446</t>
        </is>
      </c>
      <c r="C464" s="5" t="inlineStr">
        <is>
          <t>459</t>
        </is>
      </c>
      <c r="D464" s="4" t="inlineStr">
        <is>
          <t>X(14)</t>
        </is>
      </c>
      <c r="E464" s="4" t="inlineStr">
        <is>
          <t>CNPJ do Cliente / CPF do Cliente</t>
        </is>
      </c>
    </row>
    <row r="465">
      <c r="A465" s="4" t="inlineStr">
        <is>
          <t>40.19</t>
        </is>
      </c>
      <c r="B465" s="5" t="inlineStr">
        <is>
          <t>460</t>
        </is>
      </c>
      <c r="C465" s="5" t="inlineStr">
        <is>
          <t>474</t>
        </is>
      </c>
      <c r="D465" s="4" t="inlineStr">
        <is>
          <t>X(15)</t>
        </is>
      </c>
      <c r="E465" s="4" t="inlineStr">
        <is>
          <t>Inscrição Estadual Cliente</t>
        </is>
      </c>
    </row>
    <row r="466">
      <c r="A466" s="4" t="inlineStr">
        <is>
          <t>40.20</t>
        </is>
      </c>
      <c r="B466" s="5" t="inlineStr">
        <is>
          <t>475</t>
        </is>
      </c>
      <c r="C466" s="5" t="inlineStr">
        <is>
          <t>476</t>
        </is>
      </c>
      <c r="D466" s="4" t="inlineStr">
        <is>
          <t>X(02)</t>
        </is>
      </c>
      <c r="E466" s="4" t="inlineStr">
        <is>
          <t>UF do Cliente</t>
        </is>
      </c>
    </row>
    <row r="467">
      <c r="A467" s="4" t="inlineStr">
        <is>
          <t>40.21</t>
        </is>
      </c>
      <c r="B467" s="5" t="inlineStr">
        <is>
          <t>477</t>
        </is>
      </c>
      <c r="C467" s="5" t="inlineStr">
        <is>
          <t>536</t>
        </is>
      </c>
      <c r="D467" s="4" t="inlineStr">
        <is>
          <t>X(60)</t>
        </is>
      </c>
      <c r="E467" s="4" t="inlineStr">
        <is>
          <t>Nome Dependência</t>
        </is>
      </c>
    </row>
    <row r="468">
      <c r="A468" s="4" t="inlineStr">
        <is>
          <t>40.22</t>
        </is>
      </c>
      <c r="B468" s="5" t="inlineStr">
        <is>
          <t>537</t>
        </is>
      </c>
      <c r="C468" s="5" t="inlineStr">
        <is>
          <t>541</t>
        </is>
      </c>
      <c r="D468" s="4" t="inlineStr">
        <is>
          <t>9(05)</t>
        </is>
      </c>
      <c r="E468" s="4" t="inlineStr">
        <is>
          <t>Cód-Centro-Cobrança (não será impresso)</t>
        </is>
      </c>
    </row>
    <row r="469">
      <c r="A469" s="4" t="inlineStr">
        <is>
          <t>40.23</t>
        </is>
      </c>
      <c r="B469" s="5" t="inlineStr">
        <is>
          <t>542</t>
        </is>
      </c>
      <c r="C469" s="5" t="inlineStr">
        <is>
          <t>546</t>
        </is>
      </c>
      <c r="D469" s="4" t="inlineStr">
        <is>
          <t>X(05)</t>
        </is>
      </c>
      <c r="E469" s="4" t="inlineStr">
        <is>
          <t>CFOP</t>
        </is>
      </c>
    </row>
    <row r="470">
      <c r="A470" s="4" t="inlineStr">
        <is>
          <t>40.24</t>
        </is>
      </c>
      <c r="B470" s="5" t="inlineStr">
        <is>
          <t>547</t>
        </is>
      </c>
      <c r="C470" s="5" t="inlineStr">
        <is>
          <t>549</t>
        </is>
      </c>
      <c r="D470" s="4" t="inlineStr">
        <is>
          <t>X(03)</t>
        </is>
      </c>
      <c r="E470" s="4" t="inlineStr">
        <is>
          <t>Código da Empresa – Nota Fiscal ICMS  (Logo principal)= EBT (EMBRATEL), = NSC (STARONE), = CLO (CLARO), = TLM (TELMEX)</t>
        </is>
      </c>
    </row>
    <row r="471">
      <c r="A471" s="4" t="inlineStr">
        <is>
          <t>40.25</t>
        </is>
      </c>
      <c r="B471" s="5" t="inlineStr">
        <is>
          <t>550</t>
        </is>
      </c>
      <c r="C471" s="5" t="inlineStr">
        <is>
          <t>550</t>
        </is>
      </c>
      <c r="D471" s="4" t="inlineStr">
        <is>
          <t>X(01)</t>
        </is>
      </c>
      <c r="E471" s="4" t="inlineStr">
        <is>
          <t>(S)im/(N)ão === Gerar Ficha Arrecadação</t>
        </is>
      </c>
    </row>
    <row r="472"/>
    <row r="473" ht="25" customHeight="1">
      <c r="A473" s="3" t="inlineStr">
        <is>
          <t>REG 42 - Compl 40 (1/2)</t>
        </is>
      </c>
      <c r="B473" s="6" t="n"/>
      <c r="C473" s="6" t="n"/>
      <c r="D473" s="6" t="n"/>
      <c r="E473" s="7" t="n"/>
    </row>
    <row r="474">
      <c r="A474" s="4" t="inlineStr">
        <is>
          <t>42.01</t>
        </is>
      </c>
      <c r="B474" s="5" t="inlineStr">
        <is>
          <t>1</t>
        </is>
      </c>
      <c r="C474" s="5" t="inlineStr">
        <is>
          <t>2</t>
        </is>
      </c>
      <c r="D474" s="4" t="inlineStr">
        <is>
          <t>9(02)</t>
        </is>
      </c>
      <c r="E474" s="4" t="inlineStr">
        <is>
          <t>Tipo de Registro = 42</t>
        </is>
      </c>
    </row>
    <row r="475">
      <c r="A475" s="4" t="inlineStr">
        <is>
          <t>42.02</t>
        </is>
      </c>
      <c r="B475" s="5" t="inlineStr">
        <is>
          <t>3</t>
        </is>
      </c>
      <c r="C475" s="5" t="inlineStr">
        <is>
          <t>13</t>
        </is>
      </c>
      <c r="D475" s="4" t="inlineStr">
        <is>
          <t>X(11)</t>
        </is>
      </c>
      <c r="E475" s="4" t="inlineStr">
        <is>
          <t>Telefone Principal</t>
        </is>
      </c>
    </row>
    <row r="476">
      <c r="A476" s="4" t="inlineStr">
        <is>
          <t>42.03</t>
        </is>
      </c>
      <c r="B476" s="5" t="inlineStr">
        <is>
          <t>14</t>
        </is>
      </c>
      <c r="C476" s="5" t="inlineStr">
        <is>
          <t>73</t>
        </is>
      </c>
      <c r="D476" s="4" t="inlineStr">
        <is>
          <t>X(60)</t>
        </is>
      </c>
      <c r="E476" s="4" t="inlineStr">
        <is>
          <t>Bairro Cliente</t>
        </is>
      </c>
    </row>
    <row r="477">
      <c r="A477" s="4" t="inlineStr">
        <is>
          <t>42.04</t>
        </is>
      </c>
      <c r="B477" s="5" t="inlineStr">
        <is>
          <t>74</t>
        </is>
      </c>
      <c r="C477" s="5" t="inlineStr">
        <is>
          <t>81</t>
        </is>
      </c>
      <c r="D477" s="4" t="inlineStr">
        <is>
          <t>9(08)</t>
        </is>
      </c>
      <c r="E477" s="4" t="inlineStr">
        <is>
          <t>Cep Cliente</t>
        </is>
      </c>
    </row>
    <row r="478">
      <c r="A478" s="4" t="inlineStr">
        <is>
          <t>42.05</t>
        </is>
      </c>
      <c r="B478" s="5" t="inlineStr">
        <is>
          <t>82</t>
        </is>
      </c>
      <c r="C478" s="5" t="inlineStr">
        <is>
          <t>89</t>
        </is>
      </c>
      <c r="D478" s="4" t="inlineStr">
        <is>
          <t>9(08)</t>
        </is>
      </c>
      <c r="E478" s="4" t="inlineStr">
        <is>
          <t>Data INICIAL do ciclo de consumo do cliente da fatura (Competência).</t>
        </is>
      </c>
    </row>
    <row r="479">
      <c r="A479" s="4" t="inlineStr">
        <is>
          <t>42.06</t>
        </is>
      </c>
      <c r="B479" s="5" t="inlineStr">
        <is>
          <t>90</t>
        </is>
      </c>
      <c r="C479" s="5" t="inlineStr">
        <is>
          <t>97</t>
        </is>
      </c>
      <c r="D479" s="4" t="inlineStr">
        <is>
          <t>9(08)</t>
        </is>
      </c>
      <c r="E479" s="4" t="inlineStr">
        <is>
          <t>Data FINAL do ciclo de consumo do cliente da fatura (Competência).</t>
        </is>
      </c>
    </row>
    <row r="480">
      <c r="A480" s="4" t="inlineStr">
        <is>
          <t>42.07</t>
        </is>
      </c>
      <c r="B480" s="5" t="inlineStr">
        <is>
          <t>98</t>
        </is>
      </c>
      <c r="C480" s="5" t="inlineStr">
        <is>
          <t>103</t>
        </is>
      </c>
      <c r="D480" s="4" t="inlineStr">
        <is>
          <t>9(06)</t>
        </is>
      </c>
      <c r="E480" s="4" t="inlineStr">
        <is>
          <t>Referência</t>
        </is>
      </c>
    </row>
    <row r="481">
      <c r="A481" s="4" t="inlineStr">
        <is>
          <t>42.08</t>
        </is>
      </c>
      <c r="B481" s="5" t="inlineStr">
        <is>
          <t>104</t>
        </is>
      </c>
      <c r="C481" s="5" t="inlineStr">
        <is>
          <t>111</t>
        </is>
      </c>
      <c r="D481" s="4" t="inlineStr">
        <is>
          <t>9(08)</t>
        </is>
      </c>
      <c r="E481" s="4" t="inlineStr">
        <is>
          <t>Vencimento</t>
        </is>
      </c>
    </row>
    <row r="482">
      <c r="A482" s="4" t="inlineStr">
        <is>
          <t>42.09</t>
        </is>
      </c>
      <c r="B482" s="5" t="inlineStr">
        <is>
          <t>112</t>
        </is>
      </c>
      <c r="C482" s="5" t="inlineStr">
        <is>
          <t>126</t>
        </is>
      </c>
      <c r="D482" s="4" t="inlineStr">
        <is>
          <t>9(13)V99</t>
        </is>
      </c>
      <c r="E482" s="4" t="inlineStr">
        <is>
          <t>Total a Pagar (Valor Cobrado)</t>
        </is>
      </c>
    </row>
    <row r="483">
      <c r="A483" s="4" t="inlineStr">
        <is>
          <t>42.10</t>
        </is>
      </c>
      <c r="B483" s="5" t="inlineStr">
        <is>
          <t>127</t>
        </is>
      </c>
      <c r="C483" s="5" t="inlineStr">
        <is>
          <t>127</t>
        </is>
      </c>
      <c r="D483" s="4" t="inlineStr">
        <is>
          <t>X(1)</t>
        </is>
      </c>
      <c r="E483" s="4" t="inlineStr">
        <is>
          <t>Tipo</t>
        </is>
      </c>
    </row>
    <row r="484">
      <c r="A484" s="4" t="inlineStr">
        <is>
          <t>42.11</t>
        </is>
      </c>
      <c r="B484" s="5" t="inlineStr">
        <is>
          <t>128</t>
        </is>
      </c>
      <c r="C484" s="5" t="inlineStr">
        <is>
          <t>128</t>
        </is>
      </c>
      <c r="D484" s="4" t="inlineStr">
        <is>
          <t>X(1)</t>
        </is>
      </c>
      <c r="E484" s="4" t="inlineStr">
        <is>
          <t>Finalidade</t>
        </is>
      </c>
    </row>
    <row r="485">
      <c r="A485" s="4" t="inlineStr">
        <is>
          <t>42.12</t>
        </is>
      </c>
      <c r="B485" s="5" t="inlineStr">
        <is>
          <t>129</t>
        </is>
      </c>
      <c r="C485" s="5" t="inlineStr">
        <is>
          <t>208</t>
        </is>
      </c>
      <c r="D485" s="4" t="inlineStr">
        <is>
          <t>X(80)</t>
        </is>
      </c>
      <c r="E485" s="4" t="inlineStr">
        <is>
          <t>Link para Consulta pela Chave de Acesso</t>
        </is>
      </c>
    </row>
    <row r="486">
      <c r="A486" s="4" t="inlineStr">
        <is>
          <t>42.13</t>
        </is>
      </c>
      <c r="B486" s="5" t="inlineStr">
        <is>
          <t>209</t>
        </is>
      </c>
      <c r="C486" s="5" t="inlineStr">
        <is>
          <t>256</t>
        </is>
      </c>
      <c r="D486" s="4" t="inlineStr">
        <is>
          <t>X(48)</t>
        </is>
      </c>
      <c r="E486" s="4" t="inlineStr">
        <is>
          <t>Chave de acesso da NFCom emitida pela operadora local.</t>
        </is>
      </c>
    </row>
    <row r="487">
      <c r="A487" s="4" t="inlineStr">
        <is>
          <t>42.14</t>
        </is>
      </c>
      <c r="B487" s="5" t="inlineStr">
        <is>
          <t>257</t>
        </is>
      </c>
      <c r="C487" s="5" t="inlineStr">
        <is>
          <t>276</t>
        </is>
      </c>
      <c r="D487" s="4" t="inlineStr">
        <is>
          <t>X(20)</t>
        </is>
      </c>
      <c r="E487" s="4" t="inlineStr">
        <is>
          <t>Número do protocolo de autorização do documento NFCOM</t>
        </is>
      </c>
    </row>
    <row r="488">
      <c r="A488" s="4" t="inlineStr">
        <is>
          <t>42.15</t>
        </is>
      </c>
      <c r="B488" s="5" t="inlineStr">
        <is>
          <t>277</t>
        </is>
      </c>
      <c r="C488" s="5" t="inlineStr">
        <is>
          <t>284</t>
        </is>
      </c>
      <c r="D488" s="4" t="inlineStr">
        <is>
          <t>9(08)</t>
        </is>
      </c>
      <c r="E488" s="4" t="inlineStr">
        <is>
          <t>Data do Protocolo de Autorização</t>
        </is>
      </c>
    </row>
    <row r="489">
      <c r="A489" s="4" t="inlineStr">
        <is>
          <t>42.16</t>
        </is>
      </c>
      <c r="B489" s="5" t="inlineStr">
        <is>
          <t>285</t>
        </is>
      </c>
      <c r="C489" s="5" t="inlineStr">
        <is>
          <t>290</t>
        </is>
      </c>
      <c r="D489" s="4" t="inlineStr">
        <is>
          <t>9(06)</t>
        </is>
      </c>
      <c r="E489" s="4" t="inlineStr">
        <is>
          <t>Hora do Protocolo de Autorização</t>
        </is>
      </c>
    </row>
    <row r="490">
      <c r="A490" s="4" t="inlineStr">
        <is>
          <t>42.17</t>
        </is>
      </c>
      <c r="B490" s="5" t="inlineStr">
        <is>
          <t>291</t>
        </is>
      </c>
      <c r="C490" s="5" t="inlineStr">
        <is>
          <t>550</t>
        </is>
      </c>
      <c r="D490" s="4" t="inlineStr">
        <is>
          <t>X(260)</t>
        </is>
      </c>
      <c r="E490" s="4" t="inlineStr">
        <is>
          <t>Filler</t>
        </is>
      </c>
    </row>
    <row r="491"/>
    <row r="492" ht="25" customHeight="1">
      <c r="A492" s="3" t="inlineStr">
        <is>
          <t>REG 44 - Compl 40 (2/2)</t>
        </is>
      </c>
      <c r="B492" s="6" t="n"/>
      <c r="C492" s="6" t="n"/>
      <c r="D492" s="6" t="n"/>
      <c r="E492" s="7" t="n"/>
    </row>
    <row r="493">
      <c r="A493" s="4" t="inlineStr">
        <is>
          <t>44.01</t>
        </is>
      </c>
      <c r="B493" s="5" t="inlineStr">
        <is>
          <t>1</t>
        </is>
      </c>
      <c r="C493" s="5" t="inlineStr">
        <is>
          <t>2</t>
        </is>
      </c>
      <c r="D493" s="4" t="inlineStr">
        <is>
          <t>9(02)</t>
        </is>
      </c>
      <c r="E493" s="4" t="inlineStr">
        <is>
          <t>Tipo de Registro = 44</t>
        </is>
      </c>
    </row>
    <row r="494">
      <c r="A494" s="4" t="inlineStr">
        <is>
          <t>44.02</t>
        </is>
      </c>
      <c r="B494" s="5" t="inlineStr">
        <is>
          <t>3</t>
        </is>
      </c>
      <c r="C494" s="5" t="inlineStr">
        <is>
          <t>252</t>
        </is>
      </c>
      <c r="D494" s="4" t="inlineStr">
        <is>
          <t>X(250)</t>
        </is>
      </c>
      <c r="E494" s="4" t="inlineStr">
        <is>
          <t>URL do QRCode apresentado na fatura.</t>
        </is>
      </c>
    </row>
    <row r="495">
      <c r="A495" s="4" t="inlineStr">
        <is>
          <t>44.03</t>
        </is>
      </c>
      <c r="B495" s="5" t="inlineStr">
        <is>
          <t>253</t>
        </is>
      </c>
      <c r="C495" s="5" t="inlineStr">
        <is>
          <t>550</t>
        </is>
      </c>
      <c r="D495" s="4" t="inlineStr">
        <is>
          <t>X(298)</t>
        </is>
      </c>
      <c r="E495" s="4" t="inlineStr">
        <is>
          <t>Filler</t>
        </is>
      </c>
    </row>
    <row r="496"/>
    <row r="497" ht="25" customHeight="1">
      <c r="A497" s="3" t="inlineStr">
        <is>
          <t>REG 46 - Itens NFCOM</t>
        </is>
      </c>
      <c r="B497" s="6" t="n"/>
      <c r="C497" s="6" t="n"/>
      <c r="D497" s="6" t="n"/>
      <c r="E497" s="7" t="n"/>
    </row>
    <row r="498">
      <c r="A498" s="4" t="inlineStr">
        <is>
          <t>46.01</t>
        </is>
      </c>
      <c r="B498" s="5" t="inlineStr">
        <is>
          <t>1</t>
        </is>
      </c>
      <c r="C498" s="5" t="inlineStr">
        <is>
          <t>2</t>
        </is>
      </c>
      <c r="D498" s="4" t="inlineStr">
        <is>
          <t>9(02)</t>
        </is>
      </c>
      <c r="E498" s="4" t="inlineStr">
        <is>
          <t>Tipo de Registro = 46</t>
        </is>
      </c>
    </row>
    <row r="499">
      <c r="A499" s="4" t="inlineStr">
        <is>
          <t>46.02</t>
        </is>
      </c>
      <c r="B499" s="5" t="inlineStr">
        <is>
          <t>3</t>
        </is>
      </c>
      <c r="C499" s="5" t="inlineStr">
        <is>
          <t>52</t>
        </is>
      </c>
      <c r="D499" s="4" t="inlineStr">
        <is>
          <t>X(50)</t>
        </is>
      </c>
      <c r="E499" s="4" t="inlineStr">
        <is>
          <t>Descrição do Serviço</t>
        </is>
      </c>
    </row>
    <row r="500">
      <c r="A500" s="4" t="inlineStr">
        <is>
          <t>46.03</t>
        </is>
      </c>
      <c r="B500" s="5" t="inlineStr">
        <is>
          <t>53</t>
        </is>
      </c>
      <c r="C500" s="5" t="inlineStr">
        <is>
          <t>72</t>
        </is>
      </c>
      <c r="D500" s="4" t="inlineStr">
        <is>
          <t>X(20)</t>
        </is>
      </c>
      <c r="E500" s="4" t="inlineStr">
        <is>
          <t>Descrição Origem</t>
        </is>
      </c>
    </row>
    <row r="501">
      <c r="A501" s="4" t="inlineStr">
        <is>
          <t>46.04</t>
        </is>
      </c>
      <c r="B501" s="5" t="inlineStr">
        <is>
          <t>73</t>
        </is>
      </c>
      <c r="C501" s="5" t="inlineStr">
        <is>
          <t>77</t>
        </is>
      </c>
      <c r="D501" s="4" t="inlineStr">
        <is>
          <t>9(3)V99</t>
        </is>
      </c>
      <c r="E501" s="4" t="inlineStr">
        <is>
          <t>Alíquota</t>
        </is>
      </c>
    </row>
    <row r="502">
      <c r="A502" s="4" t="inlineStr">
        <is>
          <t>46.05</t>
        </is>
      </c>
      <c r="B502" s="5" t="inlineStr">
        <is>
          <t>78</t>
        </is>
      </c>
      <c r="C502" s="5" t="inlineStr">
        <is>
          <t>78</t>
        </is>
      </c>
      <c r="D502" s="4" t="inlineStr">
        <is>
          <t>X(01)</t>
        </is>
      </c>
      <c r="E502" s="4">
        <f> C, Quando  o  valor for negativo,= D, Quando  o  valor for positivo</f>
        <v/>
      </c>
    </row>
    <row r="503">
      <c r="A503" s="4" t="inlineStr">
        <is>
          <t>46.06</t>
        </is>
      </c>
      <c r="B503" s="5" t="inlineStr">
        <is>
          <t>79</t>
        </is>
      </c>
      <c r="C503" s="5" t="inlineStr">
        <is>
          <t>93</t>
        </is>
      </c>
      <c r="D503" s="4" t="inlineStr">
        <is>
          <t>9(13)V99</t>
        </is>
      </c>
      <c r="E503" s="4" t="inlineStr">
        <is>
          <t>Valor  do  Item</t>
        </is>
      </c>
    </row>
    <row r="504">
      <c r="A504" s="4" t="inlineStr">
        <is>
          <t>46.07</t>
        </is>
      </c>
      <c r="B504" s="5" t="inlineStr">
        <is>
          <t>94</t>
        </is>
      </c>
      <c r="C504" s="5" t="inlineStr">
        <is>
          <t>98</t>
        </is>
      </c>
      <c r="D504" s="4" t="inlineStr">
        <is>
          <t>9(05)</t>
        </is>
      </c>
      <c r="E504" s="4" t="inlineStr">
        <is>
          <t>Código Nacional de Localidade (CNL) (não será impresso)</t>
        </is>
      </c>
    </row>
    <row r="505">
      <c r="A505" s="4" t="inlineStr">
        <is>
          <t>46.08</t>
        </is>
      </c>
      <c r="B505" s="5" t="inlineStr">
        <is>
          <t>99</t>
        </is>
      </c>
      <c r="C505" s="5" t="inlineStr">
        <is>
          <t>128</t>
        </is>
      </c>
      <c r="D505" s="4" t="inlineStr">
        <is>
          <t>X(30)</t>
        </is>
      </c>
      <c r="E505" s="4" t="inlineStr">
        <is>
          <t>Número contrato de vendas</t>
        </is>
      </c>
    </row>
    <row r="506">
      <c r="A506" s="4" t="inlineStr">
        <is>
          <t>46.09</t>
        </is>
      </c>
      <c r="B506" s="5" t="inlineStr">
        <is>
          <t>129</t>
        </is>
      </c>
      <c r="C506" s="5" t="inlineStr">
        <is>
          <t>143</t>
        </is>
      </c>
      <c r="D506" s="4" t="inlineStr">
        <is>
          <t>9(13)V99</t>
        </is>
      </c>
      <c r="E506" s="4" t="inlineStr">
        <is>
          <t>Valor do Imposto</t>
        </is>
      </c>
    </row>
    <row r="507">
      <c r="A507" s="4" t="inlineStr">
        <is>
          <t>46.10</t>
        </is>
      </c>
      <c r="B507" s="5" t="inlineStr">
        <is>
          <t>144</t>
        </is>
      </c>
      <c r="C507" s="5" t="inlineStr">
        <is>
          <t>158</t>
        </is>
      </c>
      <c r="D507" s="4" t="inlineStr">
        <is>
          <t>9(13)V99</t>
        </is>
      </c>
      <c r="E507" s="4" t="inlineStr">
        <is>
          <t>Valor do PIS</t>
        </is>
      </c>
    </row>
    <row r="508">
      <c r="A508" s="4" t="inlineStr">
        <is>
          <t>46.11</t>
        </is>
      </c>
      <c r="B508" s="5" t="inlineStr">
        <is>
          <t>159</t>
        </is>
      </c>
      <c r="C508" s="5" t="inlineStr">
        <is>
          <t>173</t>
        </is>
      </c>
      <c r="D508" s="4" t="inlineStr">
        <is>
          <t>9(13)V99</t>
        </is>
      </c>
      <c r="E508" s="4" t="inlineStr">
        <is>
          <t>Valor do COFINS</t>
        </is>
      </c>
    </row>
    <row r="509">
      <c r="A509" s="4" t="inlineStr">
        <is>
          <t>46.12</t>
        </is>
      </c>
      <c r="B509" s="5" t="inlineStr">
        <is>
          <t>174</t>
        </is>
      </c>
      <c r="C509" s="5" t="inlineStr">
        <is>
          <t>181</t>
        </is>
      </c>
      <c r="D509" s="4" t="inlineStr">
        <is>
          <t>X(8)</t>
        </is>
      </c>
      <c r="E509" s="4" t="inlineStr">
        <is>
          <t>Número sequencial do item na nota fiscal/NFCOM.</t>
        </is>
      </c>
    </row>
    <row r="510">
      <c r="A510" s="4" t="inlineStr">
        <is>
          <t>46.13</t>
        </is>
      </c>
      <c r="B510" s="5" t="inlineStr">
        <is>
          <t>182</t>
        </is>
      </c>
      <c r="C510" s="5" t="inlineStr">
        <is>
          <t>186</t>
        </is>
      </c>
      <c r="D510" s="4" t="inlineStr">
        <is>
          <t>X(5)</t>
        </is>
      </c>
      <c r="E510" s="4" t="inlineStr">
        <is>
          <t>Código CFOP. Preencher conforme obrigatoriedade parametrizada na tabela de classificação (cClass).</t>
        </is>
      </c>
    </row>
    <row r="511">
      <c r="A511" s="4" t="inlineStr">
        <is>
          <t>46.14</t>
        </is>
      </c>
      <c r="B511" s="5" t="inlineStr">
        <is>
          <t>187</t>
        </is>
      </c>
      <c r="C511" s="5" t="inlineStr">
        <is>
          <t>187</t>
        </is>
      </c>
      <c r="D511" s="4" t="inlineStr">
        <is>
          <t>X(1)</t>
        </is>
      </c>
      <c r="E511" s="4" t="inlineStr">
        <is>
          <t>Unidade Básica de Medida.</t>
        </is>
      </c>
    </row>
    <row r="512">
      <c r="A512" s="4" t="inlineStr">
        <is>
          <t>46.15</t>
        </is>
      </c>
      <c r="B512" s="5" t="inlineStr">
        <is>
          <t>188</t>
        </is>
      </c>
      <c r="C512" s="5" t="inlineStr">
        <is>
          <t>199</t>
        </is>
      </c>
      <c r="D512" s="4" t="inlineStr">
        <is>
          <t>9(9)V999</t>
        </is>
      </c>
      <c r="E512" s="4" t="inlineStr">
        <is>
          <t>Quantidade Faturada</t>
        </is>
      </c>
    </row>
    <row r="513">
      <c r="A513" s="4" t="inlineStr">
        <is>
          <t>46.16</t>
        </is>
      </c>
      <c r="B513" s="5" t="inlineStr">
        <is>
          <t>200</t>
        </is>
      </c>
      <c r="C513" s="5" t="inlineStr">
        <is>
          <t>211</t>
        </is>
      </c>
      <c r="D513" s="4" t="inlineStr">
        <is>
          <t>9(10)V99</t>
        </is>
      </c>
      <c r="E513" s="4" t="inlineStr">
        <is>
          <t>Valor unitário do item</t>
        </is>
      </c>
    </row>
    <row r="514">
      <c r="A514" s="4" t="inlineStr">
        <is>
          <t>46.17</t>
        </is>
      </c>
      <c r="B514" s="5" t="inlineStr">
        <is>
          <t>212</t>
        </is>
      </c>
      <c r="C514" s="5" t="inlineStr">
        <is>
          <t>223</t>
        </is>
      </c>
      <c r="D514" s="4" t="inlineStr">
        <is>
          <t>9(10)V99</t>
        </is>
      </c>
      <c r="E514" s="4" t="inlineStr">
        <is>
          <t>Valor do Desconto</t>
        </is>
      </c>
    </row>
    <row r="515">
      <c r="A515" s="4" t="inlineStr">
        <is>
          <t>46.18</t>
        </is>
      </c>
      <c r="B515" s="5" t="inlineStr">
        <is>
          <t>224</t>
        </is>
      </c>
      <c r="C515" s="5" t="inlineStr">
        <is>
          <t>235</t>
        </is>
      </c>
      <c r="D515" s="4" t="inlineStr">
        <is>
          <t>9(10)V99</t>
        </is>
      </c>
      <c r="E515" s="4" t="inlineStr">
        <is>
          <t>Valor da Base de Cálculo (Base ICMS)</t>
        </is>
      </c>
    </row>
    <row r="516">
      <c r="A516" s="4" t="inlineStr">
        <is>
          <t>46.19</t>
        </is>
      </c>
      <c r="B516" s="5" t="inlineStr">
        <is>
          <t>236</t>
        </is>
      </c>
      <c r="C516" s="5" t="inlineStr">
        <is>
          <t>550</t>
        </is>
      </c>
      <c r="D516" s="4" t="inlineStr">
        <is>
          <t>X(315)</t>
        </is>
      </c>
      <c r="E516" s="4" t="inlineStr">
        <is>
          <t>Filler</t>
        </is>
      </c>
    </row>
    <row r="517"/>
    <row r="518" ht="25" customHeight="1">
      <c r="A518" s="3" t="inlineStr">
        <is>
          <t>REG 48 - Base NFCOM</t>
        </is>
      </c>
      <c r="B518" s="6" t="n"/>
      <c r="C518" s="6" t="n"/>
      <c r="D518" s="6" t="n"/>
      <c r="E518" s="7" t="n"/>
    </row>
    <row r="519">
      <c r="A519" s="4" t="inlineStr">
        <is>
          <t>48.01</t>
        </is>
      </c>
      <c r="B519" s="5" t="inlineStr">
        <is>
          <t>1</t>
        </is>
      </c>
      <c r="C519" s="5" t="inlineStr">
        <is>
          <t>2</t>
        </is>
      </c>
      <c r="D519" s="4" t="inlineStr">
        <is>
          <t>9(02)</t>
        </is>
      </c>
      <c r="E519" s="4" t="inlineStr">
        <is>
          <t>Tipo de Registro = 48</t>
        </is>
      </c>
    </row>
    <row r="520">
      <c r="A520" s="4" t="inlineStr">
        <is>
          <t>48.02</t>
        </is>
      </c>
      <c r="B520" s="5" t="inlineStr">
        <is>
          <t>3</t>
        </is>
      </c>
      <c r="C520" s="5" t="inlineStr">
        <is>
          <t>3</t>
        </is>
      </c>
      <c r="D520" s="4" t="inlineStr">
        <is>
          <t>X(01)</t>
        </is>
      </c>
      <c r="E520" s="4">
        <f> C, Quando  o  valor for negativo,= D, Quando  o  valor for positivo</f>
        <v/>
      </c>
    </row>
    <row r="521">
      <c r="A521" s="4" t="inlineStr">
        <is>
          <t>48.03</t>
        </is>
      </c>
      <c r="B521" s="5" t="inlineStr">
        <is>
          <t>4</t>
        </is>
      </c>
      <c r="C521" s="5" t="inlineStr">
        <is>
          <t>18</t>
        </is>
      </c>
      <c r="D521" s="4" t="inlineStr">
        <is>
          <t>9(13)V99</t>
        </is>
      </c>
      <c r="E521" s="4" t="inlineStr">
        <is>
          <t>Valor  Total</t>
        </is>
      </c>
    </row>
    <row r="522">
      <c r="A522" s="4" t="inlineStr">
        <is>
          <t>48.04</t>
        </is>
      </c>
      <c r="B522" s="5" t="inlineStr">
        <is>
          <t>19</t>
        </is>
      </c>
      <c r="C522" s="5" t="inlineStr">
        <is>
          <t>19</t>
        </is>
      </c>
      <c r="D522" s="4" t="inlineStr">
        <is>
          <t>X(01)</t>
        </is>
      </c>
      <c r="E522" s="4">
        <f> C, Quando  o  valor for negativo,= D, Quando  o  valor for positivo</f>
        <v/>
      </c>
    </row>
    <row r="523">
      <c r="A523" s="4" t="inlineStr">
        <is>
          <t>48.05</t>
        </is>
      </c>
      <c r="B523" s="5" t="inlineStr">
        <is>
          <t>20</t>
        </is>
      </c>
      <c r="C523" s="5" t="inlineStr">
        <is>
          <t>33</t>
        </is>
      </c>
      <c r="D523" s="4" t="inlineStr">
        <is>
          <t>9(12)V99</t>
        </is>
      </c>
      <c r="E523" s="4" t="inlineStr">
        <is>
          <t>Valor da Base de Cálculo</t>
        </is>
      </c>
    </row>
    <row r="524">
      <c r="A524" s="4" t="inlineStr">
        <is>
          <t>48.06</t>
        </is>
      </c>
      <c r="B524" s="5" t="inlineStr">
        <is>
          <t>34</t>
        </is>
      </c>
      <c r="C524" s="5" t="inlineStr">
        <is>
          <t>37</t>
        </is>
      </c>
      <c r="D524" s="4" t="inlineStr">
        <is>
          <t>X(04)</t>
        </is>
      </c>
      <c r="E524" s="4" t="inlineStr">
        <is>
          <t>Asterisco Alíquota. Preenchido quando existir redução de base de cálculo (**)</t>
        </is>
      </c>
    </row>
    <row r="525">
      <c r="A525" s="4" t="inlineStr">
        <is>
          <t>48.07</t>
        </is>
      </c>
      <c r="B525" s="5" t="inlineStr">
        <is>
          <t>38</t>
        </is>
      </c>
      <c r="C525" s="5" t="inlineStr">
        <is>
          <t>42</t>
        </is>
      </c>
      <c r="D525" s="4" t="inlineStr">
        <is>
          <t>9(03)V99</t>
        </is>
      </c>
      <c r="E525" s="4" t="inlineStr">
        <is>
          <t>Alíquota</t>
        </is>
      </c>
    </row>
    <row r="526">
      <c r="A526" s="4" t="inlineStr">
        <is>
          <t>48.08</t>
        </is>
      </c>
      <c r="B526" s="5" t="inlineStr">
        <is>
          <t>43</t>
        </is>
      </c>
      <c r="C526" s="5" t="inlineStr">
        <is>
          <t>43</t>
        </is>
      </c>
      <c r="D526" s="4" t="inlineStr">
        <is>
          <t>X(01)</t>
        </is>
      </c>
      <c r="E526" s="4">
        <f> C, Quando  o  valor for negativo,= D, Quando  o  valor for positivo</f>
        <v/>
      </c>
    </row>
    <row r="527">
      <c r="A527" s="4" t="inlineStr">
        <is>
          <t>48.09</t>
        </is>
      </c>
      <c r="B527" s="5" t="inlineStr">
        <is>
          <t>44</t>
        </is>
      </c>
      <c r="C527" s="5" t="inlineStr">
        <is>
          <t>57</t>
        </is>
      </c>
      <c r="D527" s="4" t="inlineStr">
        <is>
          <t>9(12)V99</t>
        </is>
      </c>
      <c r="E527" s="4" t="inlineStr">
        <is>
          <t>Valor  do  Imposto (ICMS)</t>
        </is>
      </c>
    </row>
    <row r="528">
      <c r="A528" s="4" t="inlineStr">
        <is>
          <t>48.10</t>
        </is>
      </c>
      <c r="B528" s="5" t="inlineStr">
        <is>
          <t>58</t>
        </is>
      </c>
      <c r="C528" s="5" t="inlineStr">
        <is>
          <t>58</t>
        </is>
      </c>
      <c r="D528" s="4" t="inlineStr">
        <is>
          <t>X(01)</t>
        </is>
      </c>
      <c r="E528" s="4">
        <f> C, Quando  o  valor for negativo,= D, Quando  o  valor for positivo</f>
        <v/>
      </c>
    </row>
    <row r="529">
      <c r="A529" s="4" t="inlineStr">
        <is>
          <t>48.11</t>
        </is>
      </c>
      <c r="B529" s="5" t="inlineStr">
        <is>
          <t>59</t>
        </is>
      </c>
      <c r="C529" s="5" t="inlineStr">
        <is>
          <t>72</t>
        </is>
      </c>
      <c r="D529" s="4" t="inlineStr">
        <is>
          <t>9(12)V99</t>
        </is>
      </c>
      <c r="E529" s="4" t="inlineStr">
        <is>
          <t>Valor  Isentos</t>
        </is>
      </c>
    </row>
    <row r="530">
      <c r="A530" s="4" t="inlineStr">
        <is>
          <t>48.12</t>
        </is>
      </c>
      <c r="B530" s="5" t="inlineStr">
        <is>
          <t>73</t>
        </is>
      </c>
      <c r="C530" s="5" t="inlineStr">
        <is>
          <t>73</t>
        </is>
      </c>
      <c r="D530" s="4" t="inlineStr">
        <is>
          <t>X(01)</t>
        </is>
      </c>
      <c r="E530" s="4">
        <f> C, Quando  o  valor for negativo,= D, Quando  o  valor for positivo</f>
        <v/>
      </c>
    </row>
    <row r="531">
      <c r="A531" s="4" t="inlineStr">
        <is>
          <t>48.13</t>
        </is>
      </c>
      <c r="B531" s="5" t="inlineStr">
        <is>
          <t>74</t>
        </is>
      </c>
      <c r="C531" s="5" t="inlineStr">
        <is>
          <t>87</t>
        </is>
      </c>
      <c r="D531" s="4" t="inlineStr">
        <is>
          <t>9(12)V99</t>
        </is>
      </c>
      <c r="E531" s="4" t="inlineStr">
        <is>
          <t>Valor  Outros</t>
        </is>
      </c>
    </row>
    <row r="532">
      <c r="A532" s="4" t="inlineStr">
        <is>
          <t>48.14</t>
        </is>
      </c>
      <c r="B532" s="5" t="inlineStr">
        <is>
          <t>88</t>
        </is>
      </c>
      <c r="C532" s="5" t="inlineStr">
        <is>
          <t>99</t>
        </is>
      </c>
      <c r="D532" s="4" t="inlineStr">
        <is>
          <t>9(10)V99</t>
        </is>
      </c>
      <c r="E532" s="4" t="inlineStr">
        <is>
          <t>Total Valor unitário</t>
        </is>
      </c>
    </row>
    <row r="533">
      <c r="A533" s="4" t="inlineStr">
        <is>
          <t>48.15</t>
        </is>
      </c>
      <c r="B533" s="5" t="inlineStr">
        <is>
          <t>100</t>
        </is>
      </c>
      <c r="C533" s="5" t="inlineStr">
        <is>
          <t>111</t>
        </is>
      </c>
      <c r="D533" s="4" t="inlineStr">
        <is>
          <t>9(10)V99</t>
        </is>
      </c>
      <c r="E533" s="4" t="inlineStr">
        <is>
          <t>Total Valor do desconto</t>
        </is>
      </c>
    </row>
    <row r="534">
      <c r="A534" s="4" t="inlineStr">
        <is>
          <t>48.16</t>
        </is>
      </c>
      <c r="B534" s="5" t="inlineStr">
        <is>
          <t>112</t>
        </is>
      </c>
      <c r="C534" s="5" t="inlineStr">
        <is>
          <t>123</t>
        </is>
      </c>
      <c r="D534" s="4" t="inlineStr">
        <is>
          <t>9(10)V99</t>
        </is>
      </c>
      <c r="E534" s="4" t="inlineStr">
        <is>
          <t>Total Valor do PIS</t>
        </is>
      </c>
    </row>
    <row r="535">
      <c r="A535" s="4" t="inlineStr">
        <is>
          <t>48.17</t>
        </is>
      </c>
      <c r="B535" s="5" t="inlineStr">
        <is>
          <t>124</t>
        </is>
      </c>
      <c r="C535" s="5" t="inlineStr">
        <is>
          <t>135</t>
        </is>
      </c>
      <c r="D535" s="4" t="inlineStr">
        <is>
          <t>9(10)V99</t>
        </is>
      </c>
      <c r="E535" s="4" t="inlineStr">
        <is>
          <t>Total Valor do COFINS</t>
        </is>
      </c>
    </row>
    <row r="536">
      <c r="A536" s="4" t="inlineStr">
        <is>
          <t>48.18</t>
        </is>
      </c>
      <c r="B536" s="5" t="inlineStr">
        <is>
          <t>136</t>
        </is>
      </c>
      <c r="C536" s="5" t="inlineStr">
        <is>
          <t>147</t>
        </is>
      </c>
      <c r="D536" s="4" t="inlineStr">
        <is>
          <t>9(10)V99</t>
        </is>
      </c>
      <c r="E536" s="4" t="inlineStr">
        <is>
          <t>Total Valor do FUST</t>
        </is>
      </c>
    </row>
    <row r="537">
      <c r="A537" s="4" t="inlineStr">
        <is>
          <t>48.19</t>
        </is>
      </c>
      <c r="B537" s="5" t="inlineStr">
        <is>
          <t>148</t>
        </is>
      </c>
      <c r="C537" s="5" t="inlineStr">
        <is>
          <t>159</t>
        </is>
      </c>
      <c r="D537" s="4" t="inlineStr">
        <is>
          <t>9(10)V99</t>
        </is>
      </c>
      <c r="E537" s="4" t="inlineStr">
        <is>
          <t>Total Valor do FUNTEL</t>
        </is>
      </c>
    </row>
    <row r="538">
      <c r="A538" s="4" t="inlineStr">
        <is>
          <t>48.20</t>
        </is>
      </c>
      <c r="B538" s="5" t="inlineStr">
        <is>
          <t>160</t>
        </is>
      </c>
      <c r="C538" s="5" t="inlineStr">
        <is>
          <t>550</t>
        </is>
      </c>
      <c r="D538" s="4" t="inlineStr">
        <is>
          <t>X(391)</t>
        </is>
      </c>
      <c r="E538" s="4" t="inlineStr">
        <is>
          <t>Filler</t>
        </is>
      </c>
    </row>
    <row r="539"/>
    <row r="540" ht="25" customHeight="1">
      <c r="A540" s="3" t="inlineStr">
        <is>
          <t>REG 50 - Somatórios NFCOM</t>
        </is>
      </c>
      <c r="B540" s="6" t="n"/>
      <c r="C540" s="6" t="n"/>
      <c r="D540" s="6" t="n"/>
      <c r="E540" s="7" t="n"/>
    </row>
    <row r="541">
      <c r="A541" s="4" t="inlineStr">
        <is>
          <t>50.01</t>
        </is>
      </c>
      <c r="B541" s="5" t="inlineStr">
        <is>
          <t>1</t>
        </is>
      </c>
      <c r="C541" s="5" t="inlineStr">
        <is>
          <t>2</t>
        </is>
      </c>
      <c r="D541" s="4" t="inlineStr">
        <is>
          <t>9(02)</t>
        </is>
      </c>
      <c r="E541" s="4" t="inlineStr">
        <is>
          <t>Tipo de Registro = 50</t>
        </is>
      </c>
    </row>
    <row r="542">
      <c r="A542" s="4" t="inlineStr">
        <is>
          <t>50.02</t>
        </is>
      </c>
      <c r="B542" s="5" t="inlineStr">
        <is>
          <t>3</t>
        </is>
      </c>
      <c r="C542" s="5" t="inlineStr">
        <is>
          <t>3</t>
        </is>
      </c>
      <c r="D542" s="4" t="inlineStr">
        <is>
          <t>X(01)</t>
        </is>
      </c>
      <c r="E542" s="4">
        <f> C, Quando  o  valor for negativo,= D, Quando  o  valor for positivo</f>
        <v/>
      </c>
    </row>
    <row r="543">
      <c r="A543" s="4" t="inlineStr">
        <is>
          <t>50.03</t>
        </is>
      </c>
      <c r="B543" s="5" t="inlineStr">
        <is>
          <t>4</t>
        </is>
      </c>
      <c r="C543" s="5" t="inlineStr">
        <is>
          <t>18</t>
        </is>
      </c>
      <c r="D543" s="4" t="inlineStr">
        <is>
          <t>9(13)V99</t>
        </is>
      </c>
      <c r="E543" s="4" t="inlineStr">
        <is>
          <t>Somatório Valor Total</t>
        </is>
      </c>
    </row>
    <row r="544">
      <c r="A544" s="4" t="inlineStr">
        <is>
          <t>50.04</t>
        </is>
      </c>
      <c r="B544" s="5" t="inlineStr">
        <is>
          <t>19</t>
        </is>
      </c>
      <c r="C544" s="5" t="inlineStr">
        <is>
          <t>19</t>
        </is>
      </c>
      <c r="D544" s="4" t="inlineStr">
        <is>
          <t>X(01)</t>
        </is>
      </c>
      <c r="E544" s="4">
        <f> C, Quando  o  valor for negativo,= D, Quando  o  valor for positivo</f>
        <v/>
      </c>
    </row>
    <row r="545">
      <c r="A545" s="4" t="inlineStr">
        <is>
          <t>50.05</t>
        </is>
      </c>
      <c r="B545" s="5" t="inlineStr">
        <is>
          <t>20</t>
        </is>
      </c>
      <c r="C545" s="5" t="inlineStr">
        <is>
          <t>33</t>
        </is>
      </c>
      <c r="D545" s="4" t="inlineStr">
        <is>
          <t>9(12)V99</t>
        </is>
      </c>
      <c r="E545" s="4" t="inlineStr">
        <is>
          <t>Somatório Valor da Base de Cálculo</t>
        </is>
      </c>
    </row>
    <row r="546">
      <c r="A546" s="4" t="inlineStr">
        <is>
          <t>50.06</t>
        </is>
      </c>
      <c r="B546" s="5" t="inlineStr">
        <is>
          <t>34</t>
        </is>
      </c>
      <c r="C546" s="5" t="inlineStr">
        <is>
          <t>34</t>
        </is>
      </c>
      <c r="D546" s="4" t="inlineStr">
        <is>
          <t>X(01)</t>
        </is>
      </c>
      <c r="E546" s="4">
        <f> C, Quando  o  valor for negativo,= D, Quando  o  valor for positivo</f>
        <v/>
      </c>
    </row>
    <row r="547">
      <c r="A547" s="4" t="inlineStr">
        <is>
          <t>50.07</t>
        </is>
      </c>
      <c r="B547" s="5" t="inlineStr">
        <is>
          <t>35</t>
        </is>
      </c>
      <c r="C547" s="5" t="inlineStr">
        <is>
          <t>48</t>
        </is>
      </c>
      <c r="D547" s="4" t="inlineStr">
        <is>
          <t>9(12)V99</t>
        </is>
      </c>
      <c r="E547" s="4" t="inlineStr">
        <is>
          <t>Somatório Valor de Imposto</t>
        </is>
      </c>
    </row>
    <row r="548">
      <c r="A548" s="4" t="inlineStr">
        <is>
          <t>50.08</t>
        </is>
      </c>
      <c r="B548" s="5" t="inlineStr">
        <is>
          <t>49</t>
        </is>
      </c>
      <c r="C548" s="5" t="inlineStr">
        <is>
          <t>49</t>
        </is>
      </c>
      <c r="D548" s="4" t="inlineStr">
        <is>
          <t>X(01)</t>
        </is>
      </c>
      <c r="E548" s="4">
        <f> C, Quando  o  valor for negativo,= D, Quando  o  valor for positivo</f>
        <v/>
      </c>
    </row>
    <row r="549">
      <c r="A549" s="4" t="inlineStr">
        <is>
          <t>50.09</t>
        </is>
      </c>
      <c r="B549" s="5" t="inlineStr">
        <is>
          <t>50</t>
        </is>
      </c>
      <c r="C549" s="5" t="inlineStr">
        <is>
          <t>63</t>
        </is>
      </c>
      <c r="D549" s="4" t="inlineStr">
        <is>
          <t>9(12)V99</t>
        </is>
      </c>
      <c r="E549" s="4" t="inlineStr">
        <is>
          <t>Somatório Valor Isentos</t>
        </is>
      </c>
    </row>
    <row r="550">
      <c r="A550" s="4" t="inlineStr">
        <is>
          <t>50.10</t>
        </is>
      </c>
      <c r="B550" s="5" t="inlineStr">
        <is>
          <t>64</t>
        </is>
      </c>
      <c r="C550" s="5" t="inlineStr">
        <is>
          <t>64</t>
        </is>
      </c>
      <c r="D550" s="4" t="inlineStr">
        <is>
          <t>X(01)</t>
        </is>
      </c>
      <c r="E550" s="4">
        <f> C, Quando  o  valor for negativo,= D, Quando  o  valor for positivo</f>
        <v/>
      </c>
    </row>
    <row r="551">
      <c r="A551" s="4" t="inlineStr">
        <is>
          <t>50.11</t>
        </is>
      </c>
      <c r="B551" s="5" t="inlineStr">
        <is>
          <t>65</t>
        </is>
      </c>
      <c r="C551" s="5" t="inlineStr">
        <is>
          <t>78</t>
        </is>
      </c>
      <c r="D551" s="4" t="inlineStr">
        <is>
          <t>9(12)V99</t>
        </is>
      </c>
      <c r="E551" s="4" t="inlineStr">
        <is>
          <t>Somatório Valor Outros</t>
        </is>
      </c>
    </row>
    <row r="552">
      <c r="A552" s="4" t="inlineStr">
        <is>
          <t>50.12</t>
        </is>
      </c>
      <c r="B552" s="5" t="inlineStr">
        <is>
          <t>79</t>
        </is>
      </c>
      <c r="C552" s="5" t="inlineStr">
        <is>
          <t>117</t>
        </is>
      </c>
      <c r="D552" s="4" t="inlineStr">
        <is>
          <t>X(39)</t>
        </is>
      </c>
      <c r="E552" s="4" t="inlineStr">
        <is>
          <t>Hash-Code editado</t>
        </is>
      </c>
    </row>
    <row r="553">
      <c r="A553" s="4" t="inlineStr">
        <is>
          <t>50.13</t>
        </is>
      </c>
      <c r="B553" s="5" t="inlineStr">
        <is>
          <t>118</t>
        </is>
      </c>
      <c r="C553" s="5" t="inlineStr">
        <is>
          <t>129</t>
        </is>
      </c>
      <c r="D553" s="4" t="inlineStr">
        <is>
          <t>9(10)V99</t>
        </is>
      </c>
      <c r="E553" s="4" t="inlineStr">
        <is>
          <t>Total Valor unitário</t>
        </is>
      </c>
    </row>
    <row r="554">
      <c r="A554" s="4" t="inlineStr">
        <is>
          <t>50.14</t>
        </is>
      </c>
      <c r="B554" s="5" t="inlineStr">
        <is>
          <t>130</t>
        </is>
      </c>
      <c r="C554" s="5" t="inlineStr">
        <is>
          <t>141</t>
        </is>
      </c>
      <c r="D554" s="4" t="inlineStr">
        <is>
          <t>9(10)V99</t>
        </is>
      </c>
      <c r="E554" s="4" t="inlineStr">
        <is>
          <t>Total Valor do desconto</t>
        </is>
      </c>
    </row>
    <row r="555">
      <c r="A555" s="4" t="inlineStr">
        <is>
          <t>50.15</t>
        </is>
      </c>
      <c r="B555" s="5" t="inlineStr">
        <is>
          <t>142</t>
        </is>
      </c>
      <c r="C555" s="5" t="inlineStr">
        <is>
          <t>153</t>
        </is>
      </c>
      <c r="D555" s="4" t="inlineStr">
        <is>
          <t>9(10)V99</t>
        </is>
      </c>
      <c r="E555" s="4" t="inlineStr">
        <is>
          <t>Total Valor do PIS</t>
        </is>
      </c>
    </row>
    <row r="556">
      <c r="A556" s="4" t="inlineStr">
        <is>
          <t>50.16</t>
        </is>
      </c>
      <c r="B556" s="5" t="inlineStr">
        <is>
          <t>154</t>
        </is>
      </c>
      <c r="C556" s="5" t="inlineStr">
        <is>
          <t>165</t>
        </is>
      </c>
      <c r="D556" s="4" t="inlineStr">
        <is>
          <t>9(10)V99</t>
        </is>
      </c>
      <c r="E556" s="4" t="inlineStr">
        <is>
          <t>Total Valor do COFINS</t>
        </is>
      </c>
    </row>
    <row r="557">
      <c r="A557" s="4" t="inlineStr">
        <is>
          <t>50.17</t>
        </is>
      </c>
      <c r="B557" s="5" t="inlineStr">
        <is>
          <t>166</t>
        </is>
      </c>
      <c r="C557" s="5" t="inlineStr">
        <is>
          <t>177</t>
        </is>
      </c>
      <c r="D557" s="4" t="inlineStr">
        <is>
          <t>9(10)V99</t>
        </is>
      </c>
      <c r="E557" s="4" t="inlineStr">
        <is>
          <t>Total Valor do FUST</t>
        </is>
      </c>
    </row>
    <row r="558">
      <c r="A558" s="4" t="inlineStr">
        <is>
          <t>50.18</t>
        </is>
      </c>
      <c r="B558" s="5" t="inlineStr">
        <is>
          <t>178</t>
        </is>
      </c>
      <c r="C558" s="5" t="inlineStr">
        <is>
          <t>189</t>
        </is>
      </c>
      <c r="D558" s="4" t="inlineStr">
        <is>
          <t>9(10)V99</t>
        </is>
      </c>
      <c r="E558" s="4" t="inlineStr">
        <is>
          <t>Total Valor do FUNTEL</t>
        </is>
      </c>
    </row>
    <row r="559">
      <c r="A559" s="4" t="inlineStr">
        <is>
          <t>50.19</t>
        </is>
      </c>
      <c r="B559" s="5" t="inlineStr">
        <is>
          <t>190</t>
        </is>
      </c>
      <c r="C559" s="5" t="inlineStr">
        <is>
          <t>201</t>
        </is>
      </c>
      <c r="D559" s="4" t="inlineStr">
        <is>
          <t>9(10)V99</t>
        </is>
      </c>
      <c r="E559" s="4" t="inlineStr">
        <is>
          <t>Total Valor  do PIS retido</t>
        </is>
      </c>
    </row>
    <row r="560">
      <c r="A560" s="4" t="inlineStr">
        <is>
          <t>50.20</t>
        </is>
      </c>
      <c r="B560" s="5" t="inlineStr">
        <is>
          <t>202</t>
        </is>
      </c>
      <c r="C560" s="5" t="inlineStr">
        <is>
          <t>213</t>
        </is>
      </c>
      <c r="D560" s="4" t="inlineStr">
        <is>
          <t>9(10)V99</t>
        </is>
      </c>
      <c r="E560" s="4" t="inlineStr">
        <is>
          <t>Total Valor do COFINS retido</t>
        </is>
      </c>
    </row>
    <row r="561">
      <c r="A561" s="4" t="inlineStr">
        <is>
          <t>50.21</t>
        </is>
      </c>
      <c r="B561" s="5" t="inlineStr">
        <is>
          <t>214</t>
        </is>
      </c>
      <c r="C561" s="5" t="inlineStr">
        <is>
          <t>225</t>
        </is>
      </c>
      <c r="D561" s="4" t="inlineStr">
        <is>
          <t>9(10)V99</t>
        </is>
      </c>
      <c r="E561" s="4" t="inlineStr">
        <is>
          <t>Total Valor do CSLL retido</t>
        </is>
      </c>
    </row>
    <row r="562">
      <c r="A562" s="4" t="inlineStr">
        <is>
          <t>50.22</t>
        </is>
      </c>
      <c r="B562" s="5" t="inlineStr">
        <is>
          <t>226</t>
        </is>
      </c>
      <c r="C562" s="5" t="inlineStr">
        <is>
          <t>237</t>
        </is>
      </c>
      <c r="D562" s="4" t="inlineStr">
        <is>
          <t>9(10)V99</t>
        </is>
      </c>
      <c r="E562" s="4" t="inlineStr">
        <is>
          <t>Total Valor do IR retido</t>
        </is>
      </c>
    </row>
    <row r="563">
      <c r="A563" s="4" t="inlineStr">
        <is>
          <t>50.23</t>
        </is>
      </c>
      <c r="B563" s="5" t="inlineStr">
        <is>
          <t>238</t>
        </is>
      </c>
      <c r="C563" s="5" t="inlineStr">
        <is>
          <t>550</t>
        </is>
      </c>
      <c r="D563" s="4" t="inlineStr">
        <is>
          <t>X(313)</t>
        </is>
      </c>
      <c r="E563" s="4" t="inlineStr">
        <is>
          <t>Filler</t>
        </is>
      </c>
    </row>
    <row r="564"/>
    <row r="565" ht="25" customHeight="1">
      <c r="A565" s="3" t="inlineStr">
        <is>
          <t>REG 52 - QRCode PIX</t>
        </is>
      </c>
      <c r="B565" s="6" t="n"/>
      <c r="C565" s="6" t="n"/>
      <c r="D565" s="6" t="n"/>
      <c r="E565" s="7" t="n"/>
    </row>
    <row r="566">
      <c r="A566" s="4" t="inlineStr">
        <is>
          <t>52.01</t>
        </is>
      </c>
      <c r="B566" s="5" t="inlineStr">
        <is>
          <t>1</t>
        </is>
      </c>
      <c r="C566" s="5" t="inlineStr">
        <is>
          <t>2</t>
        </is>
      </c>
      <c r="D566" s="4" t="inlineStr">
        <is>
          <t>9(02)</t>
        </is>
      </c>
      <c r="E566" s="4" t="inlineStr">
        <is>
          <t>Tipo de Registro = 52</t>
        </is>
      </c>
    </row>
    <row r="567">
      <c r="A567" s="4" t="inlineStr">
        <is>
          <t>52.02</t>
        </is>
      </c>
      <c r="B567" s="5" t="inlineStr">
        <is>
          <t>3</t>
        </is>
      </c>
      <c r="C567" s="5" t="inlineStr">
        <is>
          <t>252</t>
        </is>
      </c>
      <c r="D567" s="4" t="inlineStr">
        <is>
          <t>X(250)</t>
        </is>
      </c>
      <c r="E567" s="4" t="inlineStr">
        <is>
          <t>URL do QRCode do PIX apresentado na fatura.</t>
        </is>
      </c>
    </row>
    <row r="568">
      <c r="A568" s="4" t="inlineStr">
        <is>
          <t>52.03</t>
        </is>
      </c>
      <c r="B568" s="5" t="inlineStr">
        <is>
          <t>253</t>
        </is>
      </c>
      <c r="C568" s="5" t="inlineStr">
        <is>
          <t>550</t>
        </is>
      </c>
      <c r="D568" s="4" t="inlineStr">
        <is>
          <t>X(298)</t>
        </is>
      </c>
      <c r="E568" s="4" t="inlineStr">
        <is>
          <t>Filler.</t>
        </is>
      </c>
    </row>
    <row r="569"/>
    <row r="570" ht="25" customHeight="1">
      <c r="A570" s="3" t="inlineStr">
        <is>
          <t>REG 60-68 + 70-82 + 85-88</t>
        </is>
      </c>
      <c r="B570" s="6" t="n"/>
      <c r="C570" s="6" t="n"/>
      <c r="D570" s="6" t="n"/>
      <c r="E570" s="7" t="n"/>
    </row>
    <row r="571">
      <c r="A571" s="4" t="inlineStr">
        <is>
          <t>...</t>
        </is>
      </c>
      <c r="B571" s="5" t="inlineStr">
        <is>
          <t>...</t>
        </is>
      </c>
      <c r="C571" s="5" t="inlineStr">
        <is>
          <t>...</t>
        </is>
      </c>
      <c r="D571" s="4" t="inlineStr">
        <is>
          <t>...</t>
        </is>
      </c>
      <c r="E571" s="4" t="inlineStr">
        <is>
          <t>Registros 60-68 (Operadoras Mod62), 70-82 (ISS/Recibo Mod62), 85-88 (Mensagens) seguem mesma estrutura dos equivalentes do Modelo 22, adaptados para Modelo 62</t>
        </is>
      </c>
    </row>
    <row r="572"/>
    <row r="573" ht="25" customHeight="1">
      <c r="A573" s="3" t="inlineStr">
        <is>
          <t>REG 99 - Trailer</t>
        </is>
      </c>
      <c r="B573" s="6" t="n"/>
      <c r="C573" s="6" t="n"/>
      <c r="D573" s="6" t="n"/>
      <c r="E573" s="7" t="n"/>
    </row>
    <row r="574">
      <c r="A574" s="4" t="inlineStr">
        <is>
          <t>99.01</t>
        </is>
      </c>
      <c r="B574" s="5" t="inlineStr">
        <is>
          <t>1</t>
        </is>
      </c>
      <c r="C574" s="5" t="inlineStr">
        <is>
          <t>2</t>
        </is>
      </c>
      <c r="D574" s="4" t="inlineStr">
        <is>
          <t>9(02)</t>
        </is>
      </c>
      <c r="E574" s="4" t="inlineStr">
        <is>
          <t>Tipo de Registro = 99</t>
        </is>
      </c>
    </row>
    <row r="575">
      <c r="A575" s="4" t="inlineStr">
        <is>
          <t>99.02</t>
        </is>
      </c>
      <c r="B575" s="5" t="inlineStr">
        <is>
          <t>3</t>
        </is>
      </c>
      <c r="C575" s="5" t="inlineStr">
        <is>
          <t>11</t>
        </is>
      </c>
      <c r="D575" s="4" t="inlineStr">
        <is>
          <t>9(09)</t>
        </is>
      </c>
      <c r="E575" s="4" t="inlineStr">
        <is>
          <t>Total de Registros do Arquivo, inclusive com Header  e  Trailler</t>
        </is>
      </c>
    </row>
    <row r="576">
      <c r="A576" s="4" t="inlineStr">
        <is>
          <t>99.03</t>
        </is>
      </c>
      <c r="B576" s="5" t="inlineStr">
        <is>
          <t>12</t>
        </is>
      </c>
      <c r="C576" s="5" t="inlineStr">
        <is>
          <t>550</t>
        </is>
      </c>
      <c r="D576" s="4" t="inlineStr">
        <is>
          <t>X(539)</t>
        </is>
      </c>
      <c r="E576" s="4" t="inlineStr">
        <is>
          <t>Filler</t>
        </is>
      </c>
    </row>
  </sheetData>
  <mergeCells count="38">
    <mergeCell ref="A314:E314"/>
    <mergeCell ref="A412:E412"/>
    <mergeCell ref="A446:E446"/>
    <mergeCell ref="A402:E402"/>
    <mergeCell ref="A540:E540"/>
    <mergeCell ref="A169:E169"/>
    <mergeCell ref="A1:E1"/>
    <mergeCell ref="A492:E492"/>
    <mergeCell ref="A417:E417"/>
    <mergeCell ref="A570:E570"/>
    <mergeCell ref="A69:E69"/>
    <mergeCell ref="A473:E473"/>
    <mergeCell ref="A345:E345"/>
    <mergeCell ref="A183:E183"/>
    <mergeCell ref="A177:E177"/>
    <mergeCell ref="A330:E330"/>
    <mergeCell ref="A497:E497"/>
    <mergeCell ref="A105:E105"/>
    <mergeCell ref="A301:E301"/>
    <mergeCell ref="A163:E163"/>
    <mergeCell ref="A285:E285"/>
    <mergeCell ref="A210:E210"/>
    <mergeCell ref="A440:E440"/>
    <mergeCell ref="A22:E22"/>
    <mergeCell ref="A263:E263"/>
    <mergeCell ref="A150:E150"/>
    <mergeCell ref="A377:E377"/>
    <mergeCell ref="A395:E395"/>
    <mergeCell ref="A573:E573"/>
    <mergeCell ref="A53:E53"/>
    <mergeCell ref="A4:E4"/>
    <mergeCell ref="A224:E224"/>
    <mergeCell ref="A240:E240"/>
    <mergeCell ref="A432:E432"/>
    <mergeCell ref="A155:E155"/>
    <mergeCell ref="A258:E258"/>
    <mergeCell ref="A518:E518"/>
    <mergeCell ref="A565:E56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2026-02-09T06:02:14Z</dcterms:created>
  <dcterms:modified xsi:type="dcterms:W3CDTF">2026-03-12T13:18:45Z</dcterms:modified>
</cp:coreProperties>
</file>